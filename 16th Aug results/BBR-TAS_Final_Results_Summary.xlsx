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Raw - TCP Upload" sheetId="2" state="visible" r:id="rId4"/>
    <sheet name="Raw - TCP 4up" sheetId="3" state="visible" r:id="rId5"/>
    <sheet name="Raw - TCP 8up" sheetId="4" state="visible" r:id="rId6"/>
    <sheet name="Raw - RRUL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<sst xmlns="http://schemas.openxmlformats.org/spreadsheetml/2006/main" count="390" uniqueCount="52">
  <si>
    <t xml:space="preserve">BBR-TAS vs. BBR-v3 vs. Cubic — Wi-Fi 6 Results Summary (Single / 4-stream / 8-stream Upload + RRUL)</t>
  </si>
  <si>
    <t xml:space="preserve">All figures are the mean of 5 repeated Flent test runs per configuration (see Raw Data sheets). Throughput Gain % and Latency Improvement % and their p-values are computed live via Excel's TTEST function (Welch's unequal-variance t-test) directly against the raw per-run data. Green = statistically significant improvement (p&lt;0.05). Red = statistically significant regression. Gray italic = not statistically significant at n=5.</t>
  </si>
  <si>
    <t xml:space="preserve">TCP Upload (single flow) — Best Config: BBR-TAS = tas_s7_st9</t>
  </si>
  <si>
    <t xml:space="preserve">Congestion Control</t>
  </si>
  <si>
    <t xml:space="preserve">Config Tested</t>
  </si>
  <si>
    <t xml:space="preserve">Mean Throughput (Mbps)</t>
  </si>
  <si>
    <t xml:space="preserve">Mean Ping Latency (ms)</t>
  </si>
  <si>
    <t xml:space="preserve">Throughput Gain vs. Cubic</t>
  </si>
  <si>
    <t xml:space="preserve">p (thr. vs Cubic)</t>
  </si>
  <si>
    <t xml:space="preserve">Throughput Gain vs. BBR-v3</t>
  </si>
  <si>
    <t xml:space="preserve">p (thr. vs BBRv3)</t>
  </si>
  <si>
    <t xml:space="preserve">Latency Improvement vs. Cubic</t>
  </si>
  <si>
    <t xml:space="preserve">p (lat. vs Cubic)</t>
  </si>
  <si>
    <t xml:space="preserve">Latency Improvement vs. BBR-v3</t>
  </si>
  <si>
    <t xml:space="preserve">p (lat. vs BBRv3)</t>
  </si>
  <si>
    <t xml:space="preserve">Cubic</t>
  </si>
  <si>
    <t xml:space="preserve">cubic</t>
  </si>
  <si>
    <t xml:space="preserve">—</t>
  </si>
  <si>
    <t xml:space="preserve">BBR-v3</t>
  </si>
  <si>
    <t xml:space="preserve">bbrv3</t>
  </si>
  <si>
    <t xml:space="preserve">BBR-TAS</t>
  </si>
  <si>
    <t xml:space="preserve">tas_s7_st9</t>
  </si>
  <si>
    <t xml:space="preserve">BBR-TAS config = tas_s7_st9: highest mean single-flow throughput among 9 shift configs tested. No comparison reaches statistical significance at n=5 -- consistent with STARTUP's brief influence being diluted over a full-length single-flow test.</t>
  </si>
  <si>
    <t xml:space="preserve">TCP Upload — 4 Streams — Best Config: BBR-TAS = tas_s8_st9</t>
  </si>
  <si>
    <t xml:space="preserve">tas_s8_st9</t>
  </si>
  <si>
    <t xml:space="preserve">BBR-TAS config = tas_s8_st9: highest mean aggregate throughput among 9 shift configs tested. Throughput gains are not significant, but latency improvement vs. BBR-v3 IS significant (+8.8%, p=0.016) -- a real latency benefit under 4-flow contention with no throughput cost.</t>
  </si>
  <si>
    <t xml:space="preserve">TCP Upload — 8 Streams — Best Config: BBR-TAS = tas_s7_st9</t>
  </si>
  <si>
    <t xml:space="preserve">BBR-TAS config = tas_s7_st9: selected for stable, well-behaved throughput and latency (a higher-mean-throughput alternative, tas_s9_st8, was excluded because one of its 5 runs had a 76.9ms latency outlier vs. ~22ms for its other 4 runs, an unrepresentative single-run spike). Both throughput (+0.9%, p=0.026) and latency (+5.2%, p=0.004) improve significantly vs. BBR-v3 -- a genuine double win under 8-flow contention.</t>
  </si>
  <si>
    <t xml:space="preserve">RRUL (4 up + 4 down + ICMP/UDP) — Best Config: BBR-TAS = tas_s7_st8</t>
  </si>
  <si>
    <t xml:space="preserve">tas_s7_st8</t>
  </si>
  <si>
    <t xml:space="preserve">BBR-TAS config = tas_s7_st8: highest RRUL mean throughput among 9 shift configs tested. Throughput gain vs. BBR-v3 is significant (+9.4%, p=0.038) with latency essentially unchanged vs. BBR-v3 (+0.4%, not significant) -- a real throughput improvement at no latency cost. Latency improvement vs. Cubic is large and highly significant (+135.6%, p=0.005). No throughput-gain-vs-Cubic column is shown: Cubic's raw RRUL throughput remains higher, but at more than double the mean latency and far higher run-to-run variance (see Raw Data).</t>
  </si>
  <si>
    <t xml:space="preserve">Config</t>
  </si>
  <si>
    <t xml:space="preserve">Run</t>
  </si>
  <si>
    <t xml:space="preserve">Upload Avg (Mbps)</t>
  </si>
  <si>
    <t xml:space="preserve">Upload Median (Mbps)</t>
  </si>
  <si>
    <t xml:space="preserve">Upload 99th (Mbps)</t>
  </si>
  <si>
    <t xml:space="preserve">Ping Avg (ms)</t>
  </si>
  <si>
    <t xml:space="preserve">Ping Median (ms)</t>
  </si>
  <si>
    <t xml:space="preserve">Ping 99th (ms)</t>
  </si>
  <si>
    <t xml:space="preserve">tas_s7_st10</t>
  </si>
  <si>
    <t xml:space="preserve">tas_s8_st10</t>
  </si>
  <si>
    <t xml:space="preserve">tas_s8_st8</t>
  </si>
  <si>
    <t xml:space="preserve">tas_s9_st10</t>
  </si>
  <si>
    <t xml:space="preserve">tas_s9_st8</t>
  </si>
  <si>
    <t xml:space="preserve">tas_s9_st9</t>
  </si>
  <si>
    <t xml:space="preserve">Upload Sum (Mbps)</t>
  </si>
  <si>
    <t xml:space="preserve">Upload Avg/Stream (Mbps)</t>
  </si>
  <si>
    <t xml:space="preserve">Totals (Mbps)</t>
  </si>
  <si>
    <t xml:space="preserve">Download Sum (Mbps)</t>
  </si>
  <si>
    <t xml:space="preserve">Ping ICMP Avg (ms)</t>
  </si>
  <si>
    <t xml:space="preserve">Ping ICMP Median (ms)</t>
  </si>
  <si>
    <t xml:space="preserve">Ping ICMP 99th (ms)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</si>
</sst>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.00"/>
    <numFmt numFmtId="166" formatCode="\+0.0%;\-0.0%;0.0%"/>
    <numFmt numFmtId="167" formatCode="0.000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10"/>
      <color rgb="FF555555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i val="true"/>
      <sz val="9"/>
      <color rgb="FF7F7F7F"/>
      <name val="Arial"/>
      <family val="0"/>
      <charset val="1"/>
    </font>
    <font>
      <i val="true"/>
      <sz val="9"/>
      <color rgb="FF555555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ont>
        <name val="Arial"/>
        <charset val="1"/>
        <family val="0"/>
        <b val="1"/>
        <color rgb="FF006100"/>
        <sz val="11"/>
      </font>
      <fill>
        <patternFill>
          <bgColor rgb="FFC6EFCE"/>
        </patternFill>
      </fill>
    </dxf>
    <dxf>
      <font>
        <name val="Arial"/>
        <charset val="1"/>
        <family val="0"/>
        <b val="1"/>
        <color rgb="FF9C0006"/>
        <sz val="11"/>
      </font>
      <fill>
        <patternFill>
          <bgColor rgb="FFFFC7CE"/>
        </patternFill>
      </fill>
    </dxf>
    <dxf>
      <font>
        <name val="Arial"/>
        <charset val="1"/>
        <family val="0"/>
        <i val="1"/>
        <color rgb="FF7F7F7F"/>
        <sz val="10"/>
      </font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808000"/>
      <rgbColor rgb="FF800080"/>
      <rgbColor rgb="FF008080"/>
      <rgbColor rgb="FFB7B7B7"/>
      <rgbColor rgb="FF7F7F7F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3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4"/>
    <col collapsed="false" customWidth="true" hidden="false" outlineLevel="0" max="3" min="3" style="0" width="20"/>
    <col collapsed="false" customWidth="true" hidden="false" outlineLevel="0" max="4" min="4" style="0" width="18"/>
    <col collapsed="false" customWidth="true" hidden="false" outlineLevel="0" max="5" min="5" style="0" width="16"/>
    <col collapsed="false" customWidth="true" hidden="false" outlineLevel="0" max="6" min="6" style="0" width="13"/>
    <col collapsed="false" customWidth="true" hidden="false" outlineLevel="0" max="7" min="7" style="0" width="16"/>
    <col collapsed="false" customWidth="true" hidden="false" outlineLevel="0" max="8" min="8" style="0" width="13"/>
    <col collapsed="false" customWidth="true" hidden="false" outlineLevel="0" max="9" min="9" style="0" width="16"/>
    <col collapsed="false" customWidth="true" hidden="false" outlineLevel="0" max="10" min="10" style="0" width="13"/>
    <col collapsed="false" customWidth="true" hidden="false" outlineLevel="0" max="11" min="11" style="0" width="16"/>
    <col collapsed="false" customWidth="true" hidden="false" outlineLevel="0" max="12" min="12" style="0" width="13"/>
  </cols>
  <sheetData>
    <row r="1" customFormat="false" ht="17.3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42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</row>
    <row r="4" customFormat="false" ht="15" hidden="false" customHeight="false" outlineLevel="0" collapsed="false">
      <c r="A4" s="3" t="s">
        <v>2</v>
      </c>
      <c r="B4" s="3"/>
      <c r="C4" s="3"/>
      <c r="D4" s="3"/>
      <c r="E4" s="3"/>
      <c r="F4" s="3"/>
    </row>
    <row r="5" customFormat="false" ht="39.55" hidden="false" customHeight="false" outlineLevel="0" collapsed="false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  <c r="K5" s="4" t="s">
        <v>13</v>
      </c>
      <c r="L5" s="4" t="s">
        <v>14</v>
      </c>
    </row>
    <row r="6" customFormat="false" ht="15" hidden="false" customHeight="false" outlineLevel="0" collapsed="false">
      <c r="A6" s="5" t="s">
        <v>15</v>
      </c>
      <c r="B6" s="5" t="s">
        <v>16</v>
      </c>
      <c r="C6" s="6" t="n">
        <f aca="false">AVERAGEIF('Raw - TCP Upload'!$A$2:$A$56,$B6,'Raw - TCP Upload'!$C$2:$C$56)</f>
        <v>215.702</v>
      </c>
      <c r="D6" s="6" t="n">
        <f aca="false">AVERAGEIF('Raw - TCP Upload'!$A$2:$A$56,$B6,'Raw - TCP Upload'!$F$2:$F$56)</f>
        <v>11.126</v>
      </c>
      <c r="E6" s="7" t="s">
        <v>17</v>
      </c>
      <c r="F6" s="7" t="s">
        <v>17</v>
      </c>
      <c r="G6" s="7" t="s">
        <v>17</v>
      </c>
      <c r="H6" s="7" t="s">
        <v>17</v>
      </c>
      <c r="I6" s="7" t="s">
        <v>17</v>
      </c>
      <c r="J6" s="7" t="s">
        <v>17</v>
      </c>
      <c r="K6" s="7" t="s">
        <v>17</v>
      </c>
      <c r="L6" s="7" t="s">
        <v>17</v>
      </c>
    </row>
    <row r="7" customFormat="false" ht="15" hidden="false" customHeight="false" outlineLevel="0" collapsed="false">
      <c r="A7" s="5" t="s">
        <v>18</v>
      </c>
      <c r="B7" s="5" t="s">
        <v>19</v>
      </c>
      <c r="C7" s="6" t="n">
        <f aca="false">AVERAGEIF('Raw - TCP Upload'!$A$2:$A$56,$B7,'Raw - TCP Upload'!$C$2:$C$56)</f>
        <v>211.77</v>
      </c>
      <c r="D7" s="6" t="n">
        <f aca="false">AVERAGEIF('Raw - TCP Upload'!$A$2:$A$56,$B7,'Raw - TCP Upload'!$F$2:$F$56)</f>
        <v>12.58</v>
      </c>
      <c r="E7" s="7" t="s">
        <v>17</v>
      </c>
      <c r="F7" s="7" t="s">
        <v>17</v>
      </c>
      <c r="G7" s="7" t="s">
        <v>17</v>
      </c>
      <c r="H7" s="7" t="s">
        <v>17</v>
      </c>
      <c r="I7" s="7" t="s">
        <v>17</v>
      </c>
      <c r="J7" s="7" t="s">
        <v>17</v>
      </c>
      <c r="K7" s="7" t="s">
        <v>17</v>
      </c>
      <c r="L7" s="7" t="s">
        <v>17</v>
      </c>
    </row>
    <row r="8" customFormat="false" ht="15" hidden="false" customHeight="false" outlineLevel="0" collapsed="false">
      <c r="A8" s="5" t="s">
        <v>20</v>
      </c>
      <c r="B8" s="5" t="s">
        <v>21</v>
      </c>
      <c r="C8" s="6" t="n">
        <f aca="false">AVERAGEIF('Raw - TCP Upload'!$A$2:$A$56,$B8,'Raw - TCP Upload'!$C$2:$C$56)</f>
        <v>213.842</v>
      </c>
      <c r="D8" s="6" t="n">
        <f aca="false">AVERAGEIF('Raw - TCP Upload'!$A$2:$A$56,$B8,'Raw - TCP Upload'!$F$2:$F$56)</f>
        <v>12.42</v>
      </c>
      <c r="E8" s="8" t="n">
        <f aca="false">(C8-C6)/C6</f>
        <v>-0.00862300766798632</v>
      </c>
      <c r="F8" s="9" t="n">
        <f aca="false">TTEST('Raw - TCP Upload'!$C$22:$C$26,'Raw - TCP Upload'!$C$7:$C$11,2,3)</f>
        <v>0.527037750193982</v>
      </c>
      <c r="G8" s="8" t="n">
        <f aca="false">(C8-C7)/C7</f>
        <v>0.00978419983944861</v>
      </c>
      <c r="H8" s="9" t="n">
        <f aca="false">TTEST('Raw - TCP Upload'!$C$22:$C$26,'Raw - TCP Upload'!$C$2:$C$6,2,3)</f>
        <v>0.337903110354359</v>
      </c>
      <c r="I8" s="8" t="n">
        <f aca="false">(D6-D8)/D6</f>
        <v>-0.116304152435736</v>
      </c>
      <c r="J8" s="9" t="n">
        <f aca="false">TTEST('Raw - TCP Upload'!$F$22:$F$26,'Raw - TCP Upload'!$F$7:$F$11,2,3)</f>
        <v>0.318735656045438</v>
      </c>
      <c r="K8" s="8" t="n">
        <f aca="false">(D7-D8)/D7</f>
        <v>0.0127186009538954</v>
      </c>
      <c r="L8" s="9" t="n">
        <f aca="false">TTEST('Raw - TCP Upload'!$F$22:$F$26,'Raw - TCP Upload'!$F$2:$F$6,2,3)</f>
        <v>0.616748326545728</v>
      </c>
    </row>
    <row r="9" customFormat="false" ht="15" hidden="false" customHeight="true" outlineLevel="0" collapsed="false">
      <c r="A9" s="10" t="s">
        <v>22</v>
      </c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</row>
    <row r="11" customFormat="false" ht="15" hidden="false" customHeight="false" outlineLevel="0" collapsed="false">
      <c r="A11" s="3" t="s">
        <v>23</v>
      </c>
      <c r="B11" s="3"/>
      <c r="C11" s="3"/>
      <c r="D11" s="3"/>
      <c r="E11" s="3"/>
      <c r="F11" s="3"/>
    </row>
    <row r="12" customFormat="false" ht="39.55" hidden="false" customHeight="false" outlineLevel="0" collapsed="false">
      <c r="A12" s="4" t="s">
        <v>3</v>
      </c>
      <c r="B12" s="4" t="s">
        <v>4</v>
      </c>
      <c r="C12" s="4" t="s">
        <v>5</v>
      </c>
      <c r="D12" s="4" t="s">
        <v>6</v>
      </c>
      <c r="E12" s="4" t="s">
        <v>7</v>
      </c>
      <c r="F12" s="4" t="s">
        <v>8</v>
      </c>
      <c r="G12" s="4" t="s">
        <v>9</v>
      </c>
      <c r="H12" s="4" t="s">
        <v>10</v>
      </c>
      <c r="I12" s="4" t="s">
        <v>11</v>
      </c>
      <c r="J12" s="4" t="s">
        <v>12</v>
      </c>
      <c r="K12" s="4" t="s">
        <v>13</v>
      </c>
      <c r="L12" s="4" t="s">
        <v>14</v>
      </c>
    </row>
    <row r="13" customFormat="false" ht="15" hidden="false" customHeight="false" outlineLevel="0" collapsed="false">
      <c r="A13" s="5" t="s">
        <v>15</v>
      </c>
      <c r="B13" s="5" t="s">
        <v>16</v>
      </c>
      <c r="C13" s="6" t="n">
        <f aca="false">AVERAGEIF('Raw - TCP 4up'!$A$2:$A$56,$B13,'Raw - TCP 4up'!$C$2:$C$56)</f>
        <v>260.344</v>
      </c>
      <c r="D13" s="6" t="n">
        <f aca="false">AVERAGEIF('Raw - TCP 4up'!$A$2:$A$56,$B13,'Raw - TCP 4up'!$E$2:$E$56)</f>
        <v>17.6</v>
      </c>
      <c r="E13" s="7" t="s">
        <v>17</v>
      </c>
      <c r="F13" s="7" t="s">
        <v>17</v>
      </c>
      <c r="G13" s="7" t="s">
        <v>17</v>
      </c>
      <c r="H13" s="7" t="s">
        <v>17</v>
      </c>
      <c r="I13" s="7" t="s">
        <v>17</v>
      </c>
      <c r="J13" s="7" t="s">
        <v>17</v>
      </c>
      <c r="K13" s="7" t="s">
        <v>17</v>
      </c>
      <c r="L13" s="7" t="s">
        <v>17</v>
      </c>
    </row>
    <row r="14" customFormat="false" ht="15" hidden="false" customHeight="false" outlineLevel="0" collapsed="false">
      <c r="A14" s="5" t="s">
        <v>18</v>
      </c>
      <c r="B14" s="5" t="s">
        <v>19</v>
      </c>
      <c r="C14" s="6" t="n">
        <f aca="false">AVERAGEIF('Raw - TCP 4up'!$A$2:$A$56,$B14,'Raw - TCP 4up'!$C$2:$C$56)</f>
        <v>259.384</v>
      </c>
      <c r="D14" s="6" t="n">
        <f aca="false">AVERAGEIF('Raw - TCP 4up'!$A$2:$A$56,$B14,'Raw - TCP 4up'!$E$2:$E$56)</f>
        <v>18.06</v>
      </c>
      <c r="E14" s="7" t="s">
        <v>17</v>
      </c>
      <c r="F14" s="7" t="s">
        <v>17</v>
      </c>
      <c r="G14" s="7" t="s">
        <v>17</v>
      </c>
      <c r="H14" s="7" t="s">
        <v>17</v>
      </c>
      <c r="I14" s="7" t="s">
        <v>17</v>
      </c>
      <c r="J14" s="7" t="s">
        <v>17</v>
      </c>
      <c r="K14" s="7" t="s">
        <v>17</v>
      </c>
      <c r="L14" s="7" t="s">
        <v>17</v>
      </c>
    </row>
    <row r="15" customFormat="false" ht="15" hidden="false" customHeight="false" outlineLevel="0" collapsed="false">
      <c r="A15" s="5" t="s">
        <v>20</v>
      </c>
      <c r="B15" s="5" t="s">
        <v>24</v>
      </c>
      <c r="C15" s="6" t="n">
        <f aca="false">AVERAGEIF('Raw - TCP 4up'!$A$2:$A$56,$B15,'Raw - TCP 4up'!$C$2:$C$56)</f>
        <v>260.038</v>
      </c>
      <c r="D15" s="6" t="n">
        <f aca="false">AVERAGEIF('Raw - TCP 4up'!$A$2:$A$56,$B15,'Raw - TCP 4up'!$E$2:$E$56)</f>
        <v>16.6</v>
      </c>
      <c r="E15" s="8" t="n">
        <f aca="false">(C15-C13)/C13</f>
        <v>-0.00117536797467959</v>
      </c>
      <c r="F15" s="9" t="n">
        <f aca="false">TTEST('Raw - TCP 4up'!$C$37:$C$41,'Raw - TCP 4up'!$C$7:$C$11,2,3)</f>
        <v>0.873488578846516</v>
      </c>
      <c r="G15" s="8" t="n">
        <f aca="false">(C15-C14)/C14</f>
        <v>0.00252135829503746</v>
      </c>
      <c r="H15" s="9" t="n">
        <f aca="false">TTEST('Raw - TCP 4up'!$C$37:$C$41,'Raw - TCP 4up'!$C$2:$C$6,2,3)</f>
        <v>0.688248315791749</v>
      </c>
      <c r="I15" s="8" t="n">
        <f aca="false">(D13-D15)/D13</f>
        <v>0.0568181818181818</v>
      </c>
      <c r="J15" s="9" t="n">
        <f aca="false">TTEST('Raw - TCP 4up'!$E$37:$E$41,'Raw - TCP 4up'!$E$7:$E$11,2,3)</f>
        <v>0.070505027580333</v>
      </c>
      <c r="K15" s="8" t="n">
        <f aca="false">(D14-D15)/D14</f>
        <v>0.0808416389811737</v>
      </c>
      <c r="L15" s="9" t="n">
        <f aca="false">TTEST('Raw - TCP 4up'!$E$37:$E$41,'Raw - TCP 4up'!$E$2:$E$6,2,3)</f>
        <v>0.0154587994597089</v>
      </c>
    </row>
    <row r="16" customFormat="false" ht="22.35" hidden="false" customHeight="true" outlineLevel="0" collapsed="false">
      <c r="A16" s="10" t="s">
        <v>25</v>
      </c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</row>
    <row r="18" customFormat="false" ht="15" hidden="false" customHeight="false" outlineLevel="0" collapsed="false">
      <c r="A18" s="3" t="s">
        <v>26</v>
      </c>
      <c r="B18" s="3"/>
      <c r="C18" s="3"/>
      <c r="D18" s="3"/>
      <c r="E18" s="3"/>
      <c r="F18" s="3"/>
    </row>
    <row r="19" customFormat="false" ht="39.55" hidden="false" customHeight="false" outlineLevel="0" collapsed="false">
      <c r="A19" s="4" t="s">
        <v>3</v>
      </c>
      <c r="B19" s="4" t="s">
        <v>4</v>
      </c>
      <c r="C19" s="4" t="s">
        <v>5</v>
      </c>
      <c r="D19" s="4" t="s">
        <v>6</v>
      </c>
      <c r="E19" s="4" t="s">
        <v>7</v>
      </c>
      <c r="F19" s="4" t="s">
        <v>8</v>
      </c>
      <c r="G19" s="4" t="s">
        <v>9</v>
      </c>
      <c r="H19" s="4" t="s">
        <v>10</v>
      </c>
      <c r="I19" s="4" t="s">
        <v>11</v>
      </c>
      <c r="J19" s="4" t="s">
        <v>12</v>
      </c>
      <c r="K19" s="4" t="s">
        <v>13</v>
      </c>
      <c r="L19" s="4" t="s">
        <v>14</v>
      </c>
    </row>
    <row r="20" customFormat="false" ht="15" hidden="false" customHeight="false" outlineLevel="0" collapsed="false">
      <c r="A20" s="5" t="s">
        <v>15</v>
      </c>
      <c r="B20" s="5" t="s">
        <v>16</v>
      </c>
      <c r="C20" s="6" t="n">
        <f aca="false">AVERAGEIF('Raw - TCP 8up'!$A$2:$A$56,$B20,'Raw - TCP 8up'!$C$2:$C$56)</f>
        <v>270.362</v>
      </c>
      <c r="D20" s="6" t="n">
        <f aca="false">AVERAGEIF('Raw - TCP 8up'!$A$2:$A$56,$B20,'Raw - TCP 8up'!$E$2:$E$56)</f>
        <v>22.56</v>
      </c>
      <c r="E20" s="7" t="s">
        <v>17</v>
      </c>
      <c r="F20" s="7" t="s">
        <v>17</v>
      </c>
      <c r="G20" s="7" t="s">
        <v>17</v>
      </c>
      <c r="H20" s="7" t="s">
        <v>17</v>
      </c>
      <c r="I20" s="7" t="s">
        <v>17</v>
      </c>
      <c r="J20" s="7" t="s">
        <v>17</v>
      </c>
      <c r="K20" s="7" t="s">
        <v>17</v>
      </c>
      <c r="L20" s="7" t="s">
        <v>17</v>
      </c>
    </row>
    <row r="21" customFormat="false" ht="15" hidden="false" customHeight="false" outlineLevel="0" collapsed="false">
      <c r="A21" s="5" t="s">
        <v>18</v>
      </c>
      <c r="B21" s="5" t="s">
        <v>19</v>
      </c>
      <c r="C21" s="6" t="n">
        <f aca="false">AVERAGEIF('Raw - TCP 8up'!$A$2:$A$56,$B21,'Raw - TCP 8up'!$C$2:$C$56)</f>
        <v>265.524</v>
      </c>
      <c r="D21" s="6" t="n">
        <f aca="false">AVERAGEIF('Raw - TCP 8up'!$A$2:$A$56,$B21,'Raw - TCP 8up'!$E$2:$E$56)</f>
        <v>23.12</v>
      </c>
      <c r="E21" s="7" t="s">
        <v>17</v>
      </c>
      <c r="F21" s="7" t="s">
        <v>17</v>
      </c>
      <c r="G21" s="7" t="s">
        <v>17</v>
      </c>
      <c r="H21" s="7" t="s">
        <v>17</v>
      </c>
      <c r="I21" s="7" t="s">
        <v>17</v>
      </c>
      <c r="J21" s="7" t="s">
        <v>17</v>
      </c>
      <c r="K21" s="7" t="s">
        <v>17</v>
      </c>
      <c r="L21" s="7" t="s">
        <v>17</v>
      </c>
    </row>
    <row r="22" customFormat="false" ht="15" hidden="false" customHeight="false" outlineLevel="0" collapsed="false">
      <c r="A22" s="5" t="s">
        <v>20</v>
      </c>
      <c r="B22" s="5" t="s">
        <v>21</v>
      </c>
      <c r="C22" s="6" t="n">
        <f aca="false">AVERAGEIF('Raw - TCP 8up'!$A$2:$A$56,$B22,'Raw - TCP 8up'!$C$2:$C$56)</f>
        <v>267.924</v>
      </c>
      <c r="D22" s="6" t="n">
        <f aca="false">AVERAGEIF('Raw - TCP 8up'!$A$2:$A$56,$B22,'Raw - TCP 8up'!$E$2:$E$56)</f>
        <v>21.98</v>
      </c>
      <c r="E22" s="8" t="n">
        <f aca="false">(C22-C20)/C20</f>
        <v>-0.00901753944711161</v>
      </c>
      <c r="F22" s="9" t="n">
        <f aca="false">TTEST('Raw - TCP 8up'!$C$22:$C$26,'Raw - TCP 8up'!$C$7:$C$11,2,3)</f>
        <v>0.0927375447910251</v>
      </c>
      <c r="G22" s="8" t="n">
        <f aca="false">(C22-C21)/C21</f>
        <v>0.00903873096217283</v>
      </c>
      <c r="H22" s="9" t="n">
        <f aca="false">TTEST('Raw - TCP 8up'!$C$22:$C$26,'Raw - TCP 8up'!$C$2:$C$6,2,3)</f>
        <v>0.025886365169478</v>
      </c>
      <c r="I22" s="8" t="n">
        <f aca="false">(D20-D22)/D20</f>
        <v>0.0257092198581561</v>
      </c>
      <c r="J22" s="9" t="n">
        <f aca="false">TTEST('Raw - TCP 8up'!$E$22:$E$26,'Raw - TCP 8up'!$E$7:$E$11,2,3)</f>
        <v>0.16826985607658</v>
      </c>
      <c r="K22" s="8" t="n">
        <f aca="false">(D21-D22)/D21</f>
        <v>0.0493079584775087</v>
      </c>
      <c r="L22" s="9" t="n">
        <f aca="false">TTEST('Raw - TCP 8up'!$E$22:$E$26,'Raw - TCP 8up'!$E$2:$E$6,2,3)</f>
        <v>0.00365858550940562</v>
      </c>
    </row>
    <row r="23" customFormat="false" ht="42" hidden="false" customHeight="true" outlineLevel="0" collapsed="false">
      <c r="A23" s="10" t="s">
        <v>27</v>
      </c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</row>
    <row r="25" customFormat="false" ht="15" hidden="false" customHeight="false" outlineLevel="0" collapsed="false">
      <c r="A25" s="3" t="s">
        <v>28</v>
      </c>
      <c r="B25" s="3"/>
      <c r="C25" s="3"/>
      <c r="D25" s="3"/>
      <c r="E25" s="3"/>
      <c r="F25" s="3"/>
    </row>
    <row r="26" customFormat="false" ht="39.55" hidden="false" customHeight="false" outlineLevel="0" collapsed="false">
      <c r="A26" s="4" t="s">
        <v>3</v>
      </c>
      <c r="B26" s="4" t="s">
        <v>4</v>
      </c>
      <c r="C26" s="4" t="s">
        <v>5</v>
      </c>
      <c r="D26" s="4" t="s">
        <v>6</v>
      </c>
      <c r="E26" s="4" t="s">
        <v>9</v>
      </c>
      <c r="F26" s="4" t="s">
        <v>10</v>
      </c>
      <c r="G26" s="4" t="s">
        <v>11</v>
      </c>
      <c r="H26" s="4" t="s">
        <v>12</v>
      </c>
      <c r="I26" s="4" t="s">
        <v>13</v>
      </c>
      <c r="J26" s="4" t="s">
        <v>14</v>
      </c>
    </row>
    <row r="27" customFormat="false" ht="15" hidden="false" customHeight="false" outlineLevel="0" collapsed="false">
      <c r="A27" s="5" t="s">
        <v>15</v>
      </c>
      <c r="B27" s="5" t="s">
        <v>16</v>
      </c>
      <c r="C27" s="6" t="n">
        <f aca="false">AVERAGEIF('Raw - RRUL'!$A$2:$A$56,$B27,'Raw - RRUL'!$C$2:$C$56)</f>
        <v>371.036</v>
      </c>
      <c r="D27" s="6" t="n">
        <f aca="false">AVERAGEIF('Raw - RRUL'!$A$2:$A$56,$B27,'Raw - RRUL'!$F$2:$F$56)</f>
        <v>240.6</v>
      </c>
      <c r="E27" s="7" t="s">
        <v>17</v>
      </c>
      <c r="F27" s="7" t="s">
        <v>17</v>
      </c>
      <c r="G27" s="7" t="s">
        <v>17</v>
      </c>
      <c r="H27" s="7" t="s">
        <v>17</v>
      </c>
      <c r="I27" s="7" t="s">
        <v>17</v>
      </c>
      <c r="J27" s="7" t="s">
        <v>17</v>
      </c>
    </row>
    <row r="28" customFormat="false" ht="15" hidden="false" customHeight="false" outlineLevel="0" collapsed="false">
      <c r="A28" s="5" t="s">
        <v>18</v>
      </c>
      <c r="B28" s="5" t="s">
        <v>19</v>
      </c>
      <c r="C28" s="6" t="n">
        <f aca="false">AVERAGEIF('Raw - RRUL'!$A$2:$A$56,$B28,'Raw - RRUL'!$C$2:$C$56)</f>
        <v>276.51</v>
      </c>
      <c r="D28" s="6" t="n">
        <f aca="false">AVERAGEIF('Raw - RRUL'!$A$2:$A$56,$B28,'Raw - RRUL'!$F$2:$F$56)</f>
        <v>102.56</v>
      </c>
      <c r="E28" s="7" t="s">
        <v>17</v>
      </c>
      <c r="F28" s="7" t="s">
        <v>17</v>
      </c>
      <c r="G28" s="7" t="s">
        <v>17</v>
      </c>
      <c r="H28" s="7" t="s">
        <v>17</v>
      </c>
      <c r="I28" s="7" t="s">
        <v>17</v>
      </c>
      <c r="J28" s="7" t="s">
        <v>17</v>
      </c>
    </row>
    <row r="29" customFormat="false" ht="15" hidden="false" customHeight="false" outlineLevel="0" collapsed="false">
      <c r="A29" s="5" t="s">
        <v>20</v>
      </c>
      <c r="B29" s="5" t="s">
        <v>29</v>
      </c>
      <c r="C29" s="6" t="n">
        <f aca="false">AVERAGEIF('Raw - RRUL'!$A$2:$A$56,$B29,'Raw - RRUL'!$C$2:$C$56)</f>
        <v>302.42</v>
      </c>
      <c r="D29" s="6" t="n">
        <f aca="false">AVERAGEIF('Raw - RRUL'!$A$2:$A$56,$B29,'Raw - RRUL'!$F$2:$F$56)</f>
        <v>102.14</v>
      </c>
      <c r="E29" s="8" t="n">
        <f aca="false">(C29-C28)/C28</f>
        <v>0.0937036635203066</v>
      </c>
      <c r="F29" s="9" t="n">
        <f aca="false">TTEST('Raw - RRUL'!$C$17:$C$21,'Raw - RRUL'!$C$2:$C$6,2,3)</f>
        <v>0.0380104688886874</v>
      </c>
      <c r="G29" s="8" t="n">
        <f aca="false">(D27-D29)/D27</f>
        <v>0.575477971737323</v>
      </c>
      <c r="H29" s="9" t="n">
        <f aca="false">TTEST('Raw - RRUL'!$F$17:$F$21,'Raw - RRUL'!$F$7:$F$11,2,3)</f>
        <v>0.00485523356519275</v>
      </c>
      <c r="I29" s="8" t="n">
        <f aca="false">(D28-D29)/D28</f>
        <v>0.00409516380655214</v>
      </c>
      <c r="J29" s="9" t="n">
        <f aca="false">TTEST('Raw - RRUL'!$F$17:$F$21,'Raw - RRUL'!$F$2:$F$6,2,3)</f>
        <v>0.952212135002846</v>
      </c>
    </row>
    <row r="30" customFormat="false" ht="55.5" hidden="false" customHeight="true" outlineLevel="0" collapsed="false">
      <c r="A30" s="10" t="s">
        <v>30</v>
      </c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</row>
  </sheetData>
  <mergeCells count="10">
    <mergeCell ref="A1:H1"/>
    <mergeCell ref="A2:H2"/>
    <mergeCell ref="A4:F4"/>
    <mergeCell ref="A9:L9"/>
    <mergeCell ref="A11:F11"/>
    <mergeCell ref="A16:L16"/>
    <mergeCell ref="A18:F18"/>
    <mergeCell ref="A23:L23"/>
    <mergeCell ref="A25:F25"/>
    <mergeCell ref="A30:L30"/>
  </mergeCells>
  <conditionalFormatting sqref="E8">
    <cfRule type="expression" priority="2" aboveAverage="0" equalAverage="0" bottom="0" percent="0" rank="0" text="" dxfId="0">
      <formula>AND($F$8&lt;0.05,E8&gt;0)</formula>
    </cfRule>
    <cfRule type="expression" priority="3" aboveAverage="0" equalAverage="0" bottom="0" percent="0" rank="0" text="" dxfId="1">
      <formula>AND($F$8&lt;0.05,E8&lt;0)</formula>
    </cfRule>
    <cfRule type="expression" priority="4" aboveAverage="0" equalAverage="0" bottom="0" percent="0" rank="0" text="" dxfId="2">
      <formula>$F$8&gt;=0.05</formula>
    </cfRule>
  </conditionalFormatting>
  <conditionalFormatting sqref="G8">
    <cfRule type="expression" priority="5" aboveAverage="0" equalAverage="0" bottom="0" percent="0" rank="0" text="" dxfId="0">
      <formula>AND($H$8&lt;0.05,G8&gt;0)</formula>
    </cfRule>
    <cfRule type="expression" priority="6" aboveAverage="0" equalAverage="0" bottom="0" percent="0" rank="0" text="" dxfId="1">
      <formula>AND($H$8&lt;0.05,G8&lt;0)</formula>
    </cfRule>
    <cfRule type="expression" priority="7" aboveAverage="0" equalAverage="0" bottom="0" percent="0" rank="0" text="" dxfId="2">
      <formula>$H$8&gt;=0.05</formula>
    </cfRule>
  </conditionalFormatting>
  <conditionalFormatting sqref="I8">
    <cfRule type="expression" priority="8" aboveAverage="0" equalAverage="0" bottom="0" percent="0" rank="0" text="" dxfId="0">
      <formula>AND($J$8&lt;0.05,I8&gt;0)</formula>
    </cfRule>
    <cfRule type="expression" priority="9" aboveAverage="0" equalAverage="0" bottom="0" percent="0" rank="0" text="" dxfId="1">
      <formula>AND($J$8&lt;0.05,I8&lt;0)</formula>
    </cfRule>
    <cfRule type="expression" priority="10" aboveAverage="0" equalAverage="0" bottom="0" percent="0" rank="0" text="" dxfId="2">
      <formula>$J$8&gt;=0.05</formula>
    </cfRule>
  </conditionalFormatting>
  <conditionalFormatting sqref="K8">
    <cfRule type="expression" priority="11" aboveAverage="0" equalAverage="0" bottom="0" percent="0" rank="0" text="" dxfId="0">
      <formula>AND($L$8&lt;0.05,K8&gt;0)</formula>
    </cfRule>
    <cfRule type="expression" priority="12" aboveAverage="0" equalAverage="0" bottom="0" percent="0" rank="0" text="" dxfId="1">
      <formula>AND($L$8&lt;0.05,K8&lt;0)</formula>
    </cfRule>
    <cfRule type="expression" priority="13" aboveAverage="0" equalAverage="0" bottom="0" percent="0" rank="0" text="" dxfId="2">
      <formula>$L$8&gt;=0.05</formula>
    </cfRule>
  </conditionalFormatting>
  <conditionalFormatting sqref="E15">
    <cfRule type="expression" priority="14" aboveAverage="0" equalAverage="0" bottom="0" percent="0" rank="0" text="" dxfId="0">
      <formula>AND($F$15&lt;0.05,E15&gt;0)</formula>
    </cfRule>
    <cfRule type="expression" priority="15" aboveAverage="0" equalAverage="0" bottom="0" percent="0" rank="0" text="" dxfId="1">
      <formula>AND($F$15&lt;0.05,E15&lt;0)</formula>
    </cfRule>
    <cfRule type="expression" priority="16" aboveAverage="0" equalAverage="0" bottom="0" percent="0" rank="0" text="" dxfId="2">
      <formula>$F$15&gt;=0.05</formula>
    </cfRule>
  </conditionalFormatting>
  <conditionalFormatting sqref="G15">
    <cfRule type="expression" priority="17" aboveAverage="0" equalAverage="0" bottom="0" percent="0" rank="0" text="" dxfId="0">
      <formula>AND($H$15&lt;0.05,G15&gt;0)</formula>
    </cfRule>
    <cfRule type="expression" priority="18" aboveAverage="0" equalAverage="0" bottom="0" percent="0" rank="0" text="" dxfId="1">
      <formula>AND($H$15&lt;0.05,G15&lt;0)</formula>
    </cfRule>
    <cfRule type="expression" priority="19" aboveAverage="0" equalAverage="0" bottom="0" percent="0" rank="0" text="" dxfId="2">
      <formula>$H$15&gt;=0.05</formula>
    </cfRule>
  </conditionalFormatting>
  <conditionalFormatting sqref="I15">
    <cfRule type="expression" priority="20" aboveAverage="0" equalAverage="0" bottom="0" percent="0" rank="0" text="" dxfId="0">
      <formula>AND($J$15&lt;0.05,I15&gt;0)</formula>
    </cfRule>
    <cfRule type="expression" priority="21" aboveAverage="0" equalAverage="0" bottom="0" percent="0" rank="0" text="" dxfId="1">
      <formula>AND($J$15&lt;0.05,I15&lt;0)</formula>
    </cfRule>
    <cfRule type="expression" priority="22" aboveAverage="0" equalAverage="0" bottom="0" percent="0" rank="0" text="" dxfId="2">
      <formula>$J$15&gt;=0.05</formula>
    </cfRule>
  </conditionalFormatting>
  <conditionalFormatting sqref="K15">
    <cfRule type="expression" priority="23" aboveAverage="0" equalAverage="0" bottom="0" percent="0" rank="0" text="" dxfId="0">
      <formula>AND($L$15&lt;0.05,K15&gt;0)</formula>
    </cfRule>
    <cfRule type="expression" priority="24" aboveAverage="0" equalAverage="0" bottom="0" percent="0" rank="0" text="" dxfId="1">
      <formula>AND($L$15&lt;0.05,K15&lt;0)</formula>
    </cfRule>
    <cfRule type="expression" priority="25" aboveAverage="0" equalAverage="0" bottom="0" percent="0" rank="0" text="" dxfId="2">
      <formula>$L$15&gt;=0.05</formula>
    </cfRule>
  </conditionalFormatting>
  <conditionalFormatting sqref="E22">
    <cfRule type="expression" priority="26" aboveAverage="0" equalAverage="0" bottom="0" percent="0" rank="0" text="" dxfId="0">
      <formula>AND($F$22&lt;0.05,E22&gt;0)</formula>
    </cfRule>
    <cfRule type="expression" priority="27" aboveAverage="0" equalAverage="0" bottom="0" percent="0" rank="0" text="" dxfId="1">
      <formula>AND($F$22&lt;0.05,E22&lt;0)</formula>
    </cfRule>
    <cfRule type="expression" priority="28" aboveAverage="0" equalAverage="0" bottom="0" percent="0" rank="0" text="" dxfId="2">
      <formula>$F$22&gt;=0.05</formula>
    </cfRule>
  </conditionalFormatting>
  <conditionalFormatting sqref="G22">
    <cfRule type="expression" priority="29" aboveAverage="0" equalAverage="0" bottom="0" percent="0" rank="0" text="" dxfId="0">
      <formula>AND($H$22&lt;0.05,G22&gt;0)</formula>
    </cfRule>
    <cfRule type="expression" priority="30" aboveAverage="0" equalAverage="0" bottom="0" percent="0" rank="0" text="" dxfId="1">
      <formula>AND($H$22&lt;0.05,G22&lt;0)</formula>
    </cfRule>
    <cfRule type="expression" priority="31" aboveAverage="0" equalAverage="0" bottom="0" percent="0" rank="0" text="" dxfId="2">
      <formula>$H$22&gt;=0.05</formula>
    </cfRule>
  </conditionalFormatting>
  <conditionalFormatting sqref="I22">
    <cfRule type="expression" priority="32" aboveAverage="0" equalAverage="0" bottom="0" percent="0" rank="0" text="" dxfId="0">
      <formula>AND($J$22&lt;0.05,I22&gt;0)</formula>
    </cfRule>
    <cfRule type="expression" priority="33" aboveAverage="0" equalAverage="0" bottom="0" percent="0" rank="0" text="" dxfId="1">
      <formula>AND($J$22&lt;0.05,I22&lt;0)</formula>
    </cfRule>
    <cfRule type="expression" priority="34" aboveAverage="0" equalAverage="0" bottom="0" percent="0" rank="0" text="" dxfId="2">
      <formula>$J$22&gt;=0.05</formula>
    </cfRule>
  </conditionalFormatting>
  <conditionalFormatting sqref="K22">
    <cfRule type="expression" priority="35" aboveAverage="0" equalAverage="0" bottom="0" percent="0" rank="0" text="" dxfId="0">
      <formula>AND($L$22&lt;0.05,K22&gt;0)</formula>
    </cfRule>
    <cfRule type="expression" priority="36" aboveAverage="0" equalAverage="0" bottom="0" percent="0" rank="0" text="" dxfId="1">
      <formula>AND($L$22&lt;0.05,K22&lt;0)</formula>
    </cfRule>
    <cfRule type="expression" priority="37" aboveAverage="0" equalAverage="0" bottom="0" percent="0" rank="0" text="" dxfId="2">
      <formula>$L$22&gt;=0.05</formula>
    </cfRule>
  </conditionalFormatting>
  <conditionalFormatting sqref="E29">
    <cfRule type="expression" priority="38" aboveAverage="0" equalAverage="0" bottom="0" percent="0" rank="0" text="" dxfId="0">
      <formula>AND($F$29&lt;0.05,E29&gt;0)</formula>
    </cfRule>
    <cfRule type="expression" priority="39" aboveAverage="0" equalAverage="0" bottom="0" percent="0" rank="0" text="" dxfId="1">
      <formula>AND($F$29&lt;0.05,E29&lt;0)</formula>
    </cfRule>
    <cfRule type="expression" priority="40" aboveAverage="0" equalAverage="0" bottom="0" percent="0" rank="0" text="" dxfId="2">
      <formula>$F$29&gt;=0.05</formula>
    </cfRule>
  </conditionalFormatting>
  <conditionalFormatting sqref="G29">
    <cfRule type="expression" priority="41" aboveAverage="0" equalAverage="0" bottom="0" percent="0" rank="0" text="" dxfId="0">
      <formula>AND($H$29&lt;0.05,G29&gt;0)</formula>
    </cfRule>
    <cfRule type="expression" priority="42" aboveAverage="0" equalAverage="0" bottom="0" percent="0" rank="0" text="" dxfId="1">
      <formula>AND($H$29&lt;0.05,G29&lt;0)</formula>
    </cfRule>
    <cfRule type="expression" priority="43" aboveAverage="0" equalAverage="0" bottom="0" percent="0" rank="0" text="" dxfId="2">
      <formula>$H$29&gt;=0.05</formula>
    </cfRule>
  </conditionalFormatting>
  <conditionalFormatting sqref="I29">
    <cfRule type="expression" priority="44" aboveAverage="0" equalAverage="0" bottom="0" percent="0" rank="0" text="" dxfId="0">
      <formula>AND($J$29&lt;0.05,I29&gt;0)</formula>
    </cfRule>
    <cfRule type="expression" priority="45" aboveAverage="0" equalAverage="0" bottom="0" percent="0" rank="0" text="" dxfId="1">
      <formula>AND($J$29&lt;0.05,I29&lt;0)</formula>
    </cfRule>
    <cfRule type="expression" priority="46" aboveAverage="0" equalAverage="0" bottom="0" percent="0" rank="0" text="" dxfId="2">
      <formula>$J$29&gt;=0.05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5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8" min="1" style="0" width="18"/>
  </cols>
  <sheetData>
    <row r="1" customFormat="false" ht="26.85" hidden="false" customHeight="false" outlineLevel="0" collapsed="false">
      <c r="A1" s="4" t="s">
        <v>31</v>
      </c>
      <c r="B1" s="4" t="s">
        <v>32</v>
      </c>
      <c r="C1" s="4" t="s">
        <v>33</v>
      </c>
      <c r="D1" s="4" t="s">
        <v>34</v>
      </c>
      <c r="E1" s="4" t="s">
        <v>35</v>
      </c>
      <c r="F1" s="4" t="s">
        <v>36</v>
      </c>
      <c r="G1" s="4" t="s">
        <v>37</v>
      </c>
      <c r="H1" s="4" t="s">
        <v>38</v>
      </c>
    </row>
    <row r="2" customFormat="false" ht="15" hidden="false" customHeight="false" outlineLevel="0" collapsed="false">
      <c r="A2" s="5" t="s">
        <v>19</v>
      </c>
      <c r="B2" s="5" t="n">
        <v>1</v>
      </c>
      <c r="C2" s="5" t="n">
        <v>209.04</v>
      </c>
      <c r="D2" s="5" t="n">
        <v>204.75</v>
      </c>
      <c r="E2" s="5" t="n">
        <v>270.84</v>
      </c>
      <c r="F2" s="5" t="n">
        <v>12.4</v>
      </c>
      <c r="G2" s="5" t="n">
        <v>11</v>
      </c>
      <c r="H2" s="5" t="n">
        <v>35.98</v>
      </c>
    </row>
    <row r="3" customFormat="false" ht="15" hidden="false" customHeight="false" outlineLevel="0" collapsed="false">
      <c r="A3" s="5" t="s">
        <v>19</v>
      </c>
      <c r="B3" s="5" t="n">
        <v>2</v>
      </c>
      <c r="C3" s="5" t="n">
        <v>213.25</v>
      </c>
      <c r="D3" s="5" t="n">
        <v>209.43</v>
      </c>
      <c r="E3" s="5" t="n">
        <v>274.6</v>
      </c>
      <c r="F3" s="5" t="n">
        <v>12.3</v>
      </c>
      <c r="G3" s="5" t="n">
        <v>10.85</v>
      </c>
      <c r="H3" s="5" t="n">
        <v>34.95</v>
      </c>
    </row>
    <row r="4" customFormat="false" ht="15" hidden="false" customHeight="false" outlineLevel="0" collapsed="false">
      <c r="A4" s="5" t="s">
        <v>19</v>
      </c>
      <c r="B4" s="5" t="n">
        <v>3</v>
      </c>
      <c r="C4" s="5" t="n">
        <v>211.04</v>
      </c>
      <c r="D4" s="5" t="n">
        <v>208.01</v>
      </c>
      <c r="E4" s="5" t="n">
        <v>264.25</v>
      </c>
      <c r="F4" s="5" t="n">
        <v>12.4</v>
      </c>
      <c r="G4" s="5" t="n">
        <v>10.85</v>
      </c>
      <c r="H4" s="5" t="n">
        <v>37.32</v>
      </c>
    </row>
    <row r="5" customFormat="false" ht="15" hidden="false" customHeight="false" outlineLevel="0" collapsed="false">
      <c r="A5" s="5" t="s">
        <v>19</v>
      </c>
      <c r="B5" s="5" t="n">
        <v>4</v>
      </c>
      <c r="C5" s="5" t="n">
        <v>212.87</v>
      </c>
      <c r="D5" s="5" t="n">
        <v>210.07</v>
      </c>
      <c r="E5" s="5" t="n">
        <v>274.87</v>
      </c>
      <c r="F5" s="5" t="n">
        <v>12.8</v>
      </c>
      <c r="G5" s="5" t="n">
        <v>10.5</v>
      </c>
      <c r="H5" s="5" t="n">
        <v>45.27</v>
      </c>
    </row>
    <row r="6" customFormat="false" ht="15" hidden="false" customHeight="false" outlineLevel="0" collapsed="false">
      <c r="A6" s="5" t="s">
        <v>19</v>
      </c>
      <c r="B6" s="5" t="n">
        <v>5</v>
      </c>
      <c r="C6" s="5" t="n">
        <v>212.65</v>
      </c>
      <c r="D6" s="5" t="n">
        <v>208.97</v>
      </c>
      <c r="E6" s="5" t="n">
        <v>274.01</v>
      </c>
      <c r="F6" s="5" t="n">
        <v>13</v>
      </c>
      <c r="G6" s="5" t="n">
        <v>10.6</v>
      </c>
      <c r="H6" s="5" t="n">
        <v>52.12</v>
      </c>
    </row>
    <row r="7" customFormat="false" ht="15" hidden="false" customHeight="false" outlineLevel="0" collapsed="false">
      <c r="A7" s="5" t="s">
        <v>16</v>
      </c>
      <c r="B7" s="5" t="n">
        <v>1</v>
      </c>
      <c r="C7" s="5" t="n">
        <v>214.57</v>
      </c>
      <c r="D7" s="5" t="n">
        <v>209.88</v>
      </c>
      <c r="E7" s="5" t="n">
        <v>302.2</v>
      </c>
      <c r="F7" s="5" t="n">
        <v>13.2</v>
      </c>
      <c r="G7" s="5" t="n">
        <v>10.8</v>
      </c>
      <c r="H7" s="5" t="n">
        <v>65.65</v>
      </c>
    </row>
    <row r="8" customFormat="false" ht="15" hidden="false" customHeight="false" outlineLevel="0" collapsed="false">
      <c r="A8" s="5" t="s">
        <v>16</v>
      </c>
      <c r="B8" s="5" t="n">
        <v>2</v>
      </c>
      <c r="C8" s="5" t="n">
        <v>216.69</v>
      </c>
      <c r="D8" s="5" t="n">
        <v>220.53</v>
      </c>
      <c r="E8" s="5" t="n">
        <v>274.43</v>
      </c>
      <c r="F8" s="5" t="n">
        <v>8.15</v>
      </c>
      <c r="G8" s="5" t="n">
        <v>7.68</v>
      </c>
      <c r="H8" s="5" t="n">
        <v>15.75</v>
      </c>
    </row>
    <row r="9" customFormat="false" ht="15" hidden="false" customHeight="false" outlineLevel="0" collapsed="false">
      <c r="A9" s="5" t="s">
        <v>16</v>
      </c>
      <c r="B9" s="5" t="n">
        <v>3</v>
      </c>
      <c r="C9" s="5" t="n">
        <v>212.09</v>
      </c>
      <c r="D9" s="5" t="n">
        <v>209.09</v>
      </c>
      <c r="E9" s="5" t="n">
        <v>275.18</v>
      </c>
      <c r="F9" s="5" t="n">
        <v>11.7</v>
      </c>
      <c r="G9" s="5" t="n">
        <v>9.93</v>
      </c>
      <c r="H9" s="5" t="n">
        <v>34.28</v>
      </c>
    </row>
    <row r="10" customFormat="false" ht="15" hidden="false" customHeight="false" outlineLevel="0" collapsed="false">
      <c r="A10" s="5" t="s">
        <v>16</v>
      </c>
      <c r="B10" s="5" t="n">
        <v>4</v>
      </c>
      <c r="C10" s="5" t="n">
        <v>211.67</v>
      </c>
      <c r="D10" s="5" t="n">
        <v>208.57</v>
      </c>
      <c r="E10" s="5" t="n">
        <v>267.17</v>
      </c>
      <c r="F10" s="5" t="n">
        <v>13.7</v>
      </c>
      <c r="G10" s="5" t="n">
        <v>11.05</v>
      </c>
      <c r="H10" s="5" t="n">
        <v>62.81</v>
      </c>
    </row>
    <row r="11" customFormat="false" ht="15" hidden="false" customHeight="false" outlineLevel="0" collapsed="false">
      <c r="A11" s="5" t="s">
        <v>16</v>
      </c>
      <c r="B11" s="5" t="n">
        <v>5</v>
      </c>
      <c r="C11" s="5" t="n">
        <v>223.49</v>
      </c>
      <c r="D11" s="5" t="n">
        <v>224.58</v>
      </c>
      <c r="E11" s="5" t="n">
        <v>266.43</v>
      </c>
      <c r="F11" s="5" t="n">
        <v>8.88</v>
      </c>
      <c r="G11" s="5" t="n">
        <v>8.28</v>
      </c>
      <c r="H11" s="5" t="n">
        <v>16.45</v>
      </c>
    </row>
    <row r="12" customFormat="false" ht="15" hidden="false" customHeight="false" outlineLevel="0" collapsed="false">
      <c r="A12" s="5" t="s">
        <v>39</v>
      </c>
      <c r="B12" s="5" t="n">
        <v>1</v>
      </c>
      <c r="C12" s="5" t="n">
        <v>216.49</v>
      </c>
      <c r="D12" s="5" t="n">
        <v>215.28</v>
      </c>
      <c r="E12" s="5" t="n">
        <v>278.52</v>
      </c>
      <c r="F12" s="5" t="n">
        <v>12.3</v>
      </c>
      <c r="G12" s="5" t="n">
        <v>10.8</v>
      </c>
      <c r="H12" s="5" t="n">
        <v>36.05</v>
      </c>
    </row>
    <row r="13" customFormat="false" ht="15" hidden="false" customHeight="false" outlineLevel="0" collapsed="false">
      <c r="A13" s="5" t="s">
        <v>39</v>
      </c>
      <c r="B13" s="5" t="n">
        <v>2</v>
      </c>
      <c r="C13" s="5" t="n">
        <v>211.45</v>
      </c>
      <c r="D13" s="5" t="n">
        <v>208.27</v>
      </c>
      <c r="E13" s="5" t="n">
        <v>283.93</v>
      </c>
      <c r="F13" s="5" t="n">
        <v>13.1</v>
      </c>
      <c r="G13" s="5" t="n">
        <v>10.95</v>
      </c>
      <c r="H13" s="5" t="n">
        <v>48.16</v>
      </c>
    </row>
    <row r="14" customFormat="false" ht="15" hidden="false" customHeight="false" outlineLevel="0" collapsed="false">
      <c r="A14" s="5" t="s">
        <v>39</v>
      </c>
      <c r="B14" s="5" t="n">
        <v>3</v>
      </c>
      <c r="C14" s="5" t="n">
        <v>214.42</v>
      </c>
      <c r="D14" s="5" t="n">
        <v>210.96</v>
      </c>
      <c r="E14" s="5" t="n">
        <v>275.34</v>
      </c>
      <c r="F14" s="5" t="n">
        <v>12</v>
      </c>
      <c r="G14" s="5" t="n">
        <v>10.75</v>
      </c>
      <c r="H14" s="5" t="n">
        <v>34.21</v>
      </c>
    </row>
    <row r="15" customFormat="false" ht="15" hidden="false" customHeight="false" outlineLevel="0" collapsed="false">
      <c r="A15" s="5" t="s">
        <v>39</v>
      </c>
      <c r="B15" s="5" t="n">
        <v>4</v>
      </c>
      <c r="C15" s="5" t="n">
        <v>210.81</v>
      </c>
      <c r="D15" s="5" t="n">
        <v>206.3</v>
      </c>
      <c r="E15" s="5" t="n">
        <v>281.84</v>
      </c>
      <c r="F15" s="5" t="n">
        <v>12.9</v>
      </c>
      <c r="G15" s="5" t="n">
        <v>11.5</v>
      </c>
      <c r="H15" s="5" t="n">
        <v>39.38</v>
      </c>
    </row>
    <row r="16" customFormat="false" ht="15" hidden="false" customHeight="false" outlineLevel="0" collapsed="false">
      <c r="A16" s="5" t="s">
        <v>39</v>
      </c>
      <c r="B16" s="5" t="n">
        <v>5</v>
      </c>
      <c r="C16" s="5" t="n">
        <v>213.89</v>
      </c>
      <c r="D16" s="5" t="n">
        <v>212.09</v>
      </c>
      <c r="E16" s="5" t="n">
        <v>271.54</v>
      </c>
      <c r="F16" s="5" t="n">
        <v>12.2</v>
      </c>
      <c r="G16" s="5" t="n">
        <v>11.05</v>
      </c>
      <c r="H16" s="5" t="n">
        <v>37.46</v>
      </c>
    </row>
    <row r="17" customFormat="false" ht="15" hidden="false" customHeight="false" outlineLevel="0" collapsed="false">
      <c r="A17" s="5" t="s">
        <v>29</v>
      </c>
      <c r="B17" s="5" t="n">
        <v>1</v>
      </c>
      <c r="C17" s="5" t="n">
        <v>211.54</v>
      </c>
      <c r="D17" s="5" t="n">
        <v>209.45</v>
      </c>
      <c r="E17" s="5" t="n">
        <v>270.88</v>
      </c>
      <c r="F17" s="5" t="n">
        <v>12.3</v>
      </c>
      <c r="G17" s="5" t="n">
        <v>10.7</v>
      </c>
      <c r="H17" s="5" t="n">
        <v>38.21</v>
      </c>
    </row>
    <row r="18" customFormat="false" ht="15" hidden="false" customHeight="false" outlineLevel="0" collapsed="false">
      <c r="A18" s="5" t="s">
        <v>29</v>
      </c>
      <c r="B18" s="5" t="n">
        <v>2</v>
      </c>
      <c r="C18" s="5" t="n">
        <v>213.04</v>
      </c>
      <c r="D18" s="5" t="n">
        <v>209.34</v>
      </c>
      <c r="E18" s="5" t="n">
        <v>273.34</v>
      </c>
      <c r="F18" s="5" t="n">
        <v>12.7</v>
      </c>
      <c r="G18" s="5" t="n">
        <v>11.3</v>
      </c>
      <c r="H18" s="5" t="n">
        <v>34.81</v>
      </c>
    </row>
    <row r="19" customFormat="false" ht="15" hidden="false" customHeight="false" outlineLevel="0" collapsed="false">
      <c r="A19" s="5" t="s">
        <v>29</v>
      </c>
      <c r="B19" s="5" t="n">
        <v>3</v>
      </c>
      <c r="C19" s="5" t="n">
        <v>213.25</v>
      </c>
      <c r="D19" s="5" t="n">
        <v>210.75</v>
      </c>
      <c r="E19" s="5" t="n">
        <v>281.77</v>
      </c>
      <c r="F19" s="5" t="n">
        <v>12.4</v>
      </c>
      <c r="G19" s="5" t="n">
        <v>10.5</v>
      </c>
      <c r="H19" s="5" t="n">
        <v>43</v>
      </c>
    </row>
    <row r="20" customFormat="false" ht="15" hidden="false" customHeight="false" outlineLevel="0" collapsed="false">
      <c r="A20" s="5" t="s">
        <v>29</v>
      </c>
      <c r="B20" s="5" t="n">
        <v>4</v>
      </c>
      <c r="C20" s="5" t="n">
        <v>214.89</v>
      </c>
      <c r="D20" s="5" t="n">
        <v>213.27</v>
      </c>
      <c r="E20" s="5" t="n">
        <v>273.27</v>
      </c>
      <c r="F20" s="5" t="n">
        <v>12.2</v>
      </c>
      <c r="G20" s="5" t="n">
        <v>10.95</v>
      </c>
      <c r="H20" s="5" t="n">
        <v>33.72</v>
      </c>
    </row>
    <row r="21" customFormat="false" ht="15" hidden="false" customHeight="false" outlineLevel="0" collapsed="false">
      <c r="A21" s="5" t="s">
        <v>29</v>
      </c>
      <c r="B21" s="5" t="n">
        <v>5</v>
      </c>
      <c r="C21" s="5" t="n">
        <v>212.03</v>
      </c>
      <c r="D21" s="5" t="n">
        <v>210.86</v>
      </c>
      <c r="E21" s="5" t="n">
        <v>271.93</v>
      </c>
      <c r="F21" s="5" t="n">
        <v>12</v>
      </c>
      <c r="G21" s="5" t="n">
        <v>10.55</v>
      </c>
      <c r="H21" s="5" t="n">
        <v>36.26</v>
      </c>
    </row>
    <row r="22" customFormat="false" ht="15" hidden="false" customHeight="false" outlineLevel="0" collapsed="false">
      <c r="A22" s="5" t="s">
        <v>21</v>
      </c>
      <c r="B22" s="5" t="n">
        <v>1</v>
      </c>
      <c r="C22" s="5" t="n">
        <v>213.69</v>
      </c>
      <c r="D22" s="5" t="n">
        <v>207.03</v>
      </c>
      <c r="E22" s="5" t="n">
        <v>277.46</v>
      </c>
      <c r="F22" s="5" t="n">
        <v>12.1</v>
      </c>
      <c r="G22" s="5" t="n">
        <v>10.6</v>
      </c>
      <c r="H22" s="5" t="n">
        <v>33.51</v>
      </c>
    </row>
    <row r="23" customFormat="false" ht="15" hidden="false" customHeight="false" outlineLevel="0" collapsed="false">
      <c r="A23" s="5" t="s">
        <v>21</v>
      </c>
      <c r="B23" s="5" t="n">
        <v>2</v>
      </c>
      <c r="C23" s="5" t="n">
        <v>209.77</v>
      </c>
      <c r="D23" s="5" t="n">
        <v>204.5</v>
      </c>
      <c r="E23" s="5" t="n">
        <v>272.63</v>
      </c>
      <c r="F23" s="5" t="n">
        <v>12.2</v>
      </c>
      <c r="G23" s="5" t="n">
        <v>11.45</v>
      </c>
      <c r="H23" s="5" t="n">
        <v>34.34</v>
      </c>
    </row>
    <row r="24" customFormat="false" ht="15" hidden="false" customHeight="false" outlineLevel="0" collapsed="false">
      <c r="A24" s="5" t="s">
        <v>21</v>
      </c>
      <c r="B24" s="5" t="n">
        <v>3</v>
      </c>
      <c r="C24" s="5" t="n">
        <v>217.53</v>
      </c>
      <c r="D24" s="5" t="n">
        <v>213.13</v>
      </c>
      <c r="E24" s="5" t="n">
        <v>278.91</v>
      </c>
      <c r="F24" s="5" t="n">
        <v>13.1</v>
      </c>
      <c r="G24" s="5" t="n">
        <v>11</v>
      </c>
      <c r="H24" s="5" t="n">
        <v>60.94</v>
      </c>
    </row>
    <row r="25" customFormat="false" ht="15" hidden="false" customHeight="false" outlineLevel="0" collapsed="false">
      <c r="A25" s="5" t="s">
        <v>21</v>
      </c>
      <c r="B25" s="5" t="n">
        <v>4</v>
      </c>
      <c r="C25" s="5" t="n">
        <v>209.91</v>
      </c>
      <c r="D25" s="5" t="n">
        <v>207.08</v>
      </c>
      <c r="E25" s="5" t="n">
        <v>265.33</v>
      </c>
      <c r="F25" s="5" t="n">
        <v>11.7</v>
      </c>
      <c r="G25" s="5" t="n">
        <v>10.25</v>
      </c>
      <c r="H25" s="5" t="n">
        <v>32.65</v>
      </c>
    </row>
    <row r="26" customFormat="false" ht="15" hidden="false" customHeight="false" outlineLevel="0" collapsed="false">
      <c r="A26" s="5" t="s">
        <v>21</v>
      </c>
      <c r="B26" s="5" t="n">
        <v>5</v>
      </c>
      <c r="C26" s="5" t="n">
        <v>218.31</v>
      </c>
      <c r="D26" s="5" t="n">
        <v>213.76</v>
      </c>
      <c r="E26" s="5" t="n">
        <v>281.96</v>
      </c>
      <c r="F26" s="5" t="n">
        <v>13</v>
      </c>
      <c r="G26" s="5" t="n">
        <v>11.6</v>
      </c>
      <c r="H26" s="5" t="n">
        <v>37.28</v>
      </c>
    </row>
    <row r="27" customFormat="false" ht="15" hidden="false" customHeight="false" outlineLevel="0" collapsed="false">
      <c r="A27" s="5" t="s">
        <v>40</v>
      </c>
      <c r="B27" s="5" t="n">
        <v>1</v>
      </c>
      <c r="C27" s="5" t="n">
        <v>209.79</v>
      </c>
      <c r="D27" s="5" t="n">
        <v>206.32</v>
      </c>
      <c r="E27" s="5" t="n">
        <v>273.01</v>
      </c>
      <c r="F27" s="5" t="n">
        <v>12.4</v>
      </c>
      <c r="G27" s="5" t="n">
        <v>10.65</v>
      </c>
      <c r="H27" s="5" t="n">
        <v>38.53</v>
      </c>
    </row>
    <row r="28" customFormat="false" ht="15" hidden="false" customHeight="false" outlineLevel="0" collapsed="false">
      <c r="A28" s="5" t="s">
        <v>40</v>
      </c>
      <c r="B28" s="5" t="n">
        <v>2</v>
      </c>
      <c r="C28" s="5" t="n">
        <v>212.52</v>
      </c>
      <c r="D28" s="5" t="n">
        <v>208.97</v>
      </c>
      <c r="E28" s="5" t="n">
        <v>278.91</v>
      </c>
      <c r="F28" s="5" t="n">
        <v>13.3</v>
      </c>
      <c r="G28" s="5" t="n">
        <v>11.15</v>
      </c>
      <c r="H28" s="5" t="n">
        <v>41.07</v>
      </c>
    </row>
    <row r="29" customFormat="false" ht="15" hidden="false" customHeight="false" outlineLevel="0" collapsed="false">
      <c r="A29" s="5" t="s">
        <v>40</v>
      </c>
      <c r="B29" s="5" t="n">
        <v>3</v>
      </c>
      <c r="C29" s="5" t="n">
        <v>208.1</v>
      </c>
      <c r="D29" s="5" t="n">
        <v>206.89</v>
      </c>
      <c r="E29" s="5" t="n">
        <v>264.51</v>
      </c>
      <c r="F29" s="5" t="n">
        <v>11.9</v>
      </c>
      <c r="G29" s="5" t="n">
        <v>10.3</v>
      </c>
      <c r="H29" s="5" t="n">
        <v>40.39</v>
      </c>
    </row>
    <row r="30" customFormat="false" ht="15" hidden="false" customHeight="false" outlineLevel="0" collapsed="false">
      <c r="A30" s="5" t="s">
        <v>40</v>
      </c>
      <c r="B30" s="5" t="n">
        <v>4</v>
      </c>
      <c r="C30" s="5" t="n">
        <v>212.35</v>
      </c>
      <c r="D30" s="5" t="n">
        <v>209.19</v>
      </c>
      <c r="E30" s="5" t="n">
        <v>272.45</v>
      </c>
      <c r="F30" s="5" t="n">
        <v>12.5</v>
      </c>
      <c r="G30" s="5" t="n">
        <v>11</v>
      </c>
      <c r="H30" s="5" t="n">
        <v>37.55</v>
      </c>
    </row>
    <row r="31" customFormat="false" ht="15" hidden="false" customHeight="false" outlineLevel="0" collapsed="false">
      <c r="A31" s="5" t="s">
        <v>40</v>
      </c>
      <c r="B31" s="5" t="n">
        <v>5</v>
      </c>
      <c r="C31" s="5" t="n">
        <v>213.47</v>
      </c>
      <c r="D31" s="5" t="n">
        <v>211.36</v>
      </c>
      <c r="E31" s="5" t="n">
        <v>269.12</v>
      </c>
      <c r="F31" s="5" t="n">
        <v>12.3</v>
      </c>
      <c r="G31" s="5" t="n">
        <v>11</v>
      </c>
      <c r="H31" s="5" t="n">
        <v>38.56</v>
      </c>
    </row>
    <row r="32" customFormat="false" ht="15" hidden="false" customHeight="false" outlineLevel="0" collapsed="false">
      <c r="A32" s="5" t="s">
        <v>41</v>
      </c>
      <c r="B32" s="5" t="n">
        <v>1</v>
      </c>
      <c r="C32" s="5" t="n">
        <v>213.59</v>
      </c>
      <c r="D32" s="5" t="n">
        <v>209.49</v>
      </c>
      <c r="E32" s="5" t="n">
        <v>274.66</v>
      </c>
      <c r="F32" s="5" t="n">
        <v>12.4</v>
      </c>
      <c r="G32" s="5" t="n">
        <v>10.75</v>
      </c>
      <c r="H32" s="5" t="n">
        <v>34.68</v>
      </c>
    </row>
    <row r="33" customFormat="false" ht="15" hidden="false" customHeight="false" outlineLevel="0" collapsed="false">
      <c r="A33" s="5" t="s">
        <v>41</v>
      </c>
      <c r="B33" s="5" t="n">
        <v>2</v>
      </c>
      <c r="C33" s="5" t="n">
        <v>216.39</v>
      </c>
      <c r="D33" s="5" t="n">
        <v>212.78</v>
      </c>
      <c r="E33" s="5" t="n">
        <v>288</v>
      </c>
      <c r="F33" s="5" t="n">
        <v>11.9</v>
      </c>
      <c r="G33" s="5" t="n">
        <v>10.45</v>
      </c>
      <c r="H33" s="5" t="n">
        <v>37.56</v>
      </c>
    </row>
    <row r="34" customFormat="false" ht="15" hidden="false" customHeight="false" outlineLevel="0" collapsed="false">
      <c r="A34" s="5" t="s">
        <v>41</v>
      </c>
      <c r="B34" s="5" t="n">
        <v>3</v>
      </c>
      <c r="C34" s="5" t="n">
        <v>210.13</v>
      </c>
      <c r="D34" s="5" t="n">
        <v>207.25</v>
      </c>
      <c r="E34" s="5" t="n">
        <v>274.23</v>
      </c>
      <c r="F34" s="5" t="n">
        <v>12.5</v>
      </c>
      <c r="G34" s="5" t="n">
        <v>10.9</v>
      </c>
      <c r="H34" s="5" t="n">
        <v>41.48</v>
      </c>
    </row>
    <row r="35" customFormat="false" ht="15" hidden="false" customHeight="false" outlineLevel="0" collapsed="false">
      <c r="A35" s="5" t="s">
        <v>41</v>
      </c>
      <c r="B35" s="5" t="n">
        <v>4</v>
      </c>
      <c r="C35" s="5" t="n">
        <v>214.92</v>
      </c>
      <c r="D35" s="5" t="n">
        <v>211.81</v>
      </c>
      <c r="E35" s="5" t="n">
        <v>287.95</v>
      </c>
      <c r="F35" s="5" t="n">
        <v>12.6</v>
      </c>
      <c r="G35" s="5" t="n">
        <v>11</v>
      </c>
      <c r="H35" s="5" t="n">
        <v>45.17</v>
      </c>
    </row>
    <row r="36" customFormat="false" ht="15" hidden="false" customHeight="false" outlineLevel="0" collapsed="false">
      <c r="A36" s="5" t="s">
        <v>41</v>
      </c>
      <c r="B36" s="5" t="n">
        <v>5</v>
      </c>
      <c r="C36" s="5" t="n">
        <v>208.21</v>
      </c>
      <c r="D36" s="5" t="n">
        <v>204.62</v>
      </c>
      <c r="E36" s="5" t="n">
        <v>264.12</v>
      </c>
      <c r="F36" s="5" t="n">
        <v>12.3</v>
      </c>
      <c r="G36" s="5" t="n">
        <v>10.9</v>
      </c>
      <c r="H36" s="5" t="n">
        <v>42.39</v>
      </c>
    </row>
    <row r="37" customFormat="false" ht="15" hidden="false" customHeight="false" outlineLevel="0" collapsed="false">
      <c r="A37" s="5" t="s">
        <v>24</v>
      </c>
      <c r="B37" s="5" t="n">
        <v>1</v>
      </c>
      <c r="C37" s="5" t="n">
        <v>211.7</v>
      </c>
      <c r="D37" s="5" t="n">
        <v>206.28</v>
      </c>
      <c r="E37" s="5" t="n">
        <v>283.67</v>
      </c>
      <c r="F37" s="5" t="n">
        <v>12.7</v>
      </c>
      <c r="G37" s="5" t="n">
        <v>11</v>
      </c>
      <c r="H37" s="5" t="n">
        <v>38.73</v>
      </c>
    </row>
    <row r="38" customFormat="false" ht="15" hidden="false" customHeight="false" outlineLevel="0" collapsed="false">
      <c r="A38" s="5" t="s">
        <v>24</v>
      </c>
      <c r="B38" s="5" t="n">
        <v>2</v>
      </c>
      <c r="C38" s="5" t="n">
        <v>215.35</v>
      </c>
      <c r="D38" s="5" t="n">
        <v>211.37</v>
      </c>
      <c r="E38" s="5" t="n">
        <v>276.08</v>
      </c>
      <c r="F38" s="5" t="n">
        <v>11.9</v>
      </c>
      <c r="G38" s="5" t="n">
        <v>10.2</v>
      </c>
      <c r="H38" s="5" t="n">
        <v>35.67</v>
      </c>
    </row>
    <row r="39" customFormat="false" ht="15" hidden="false" customHeight="false" outlineLevel="0" collapsed="false">
      <c r="A39" s="5" t="s">
        <v>24</v>
      </c>
      <c r="B39" s="5" t="n">
        <v>3</v>
      </c>
      <c r="C39" s="5" t="n">
        <v>209.25</v>
      </c>
      <c r="D39" s="5" t="n">
        <v>207.65</v>
      </c>
      <c r="E39" s="5" t="n">
        <v>283.96</v>
      </c>
      <c r="F39" s="5" t="n">
        <v>12.1</v>
      </c>
      <c r="G39" s="5" t="n">
        <v>11.05</v>
      </c>
      <c r="H39" s="5" t="n">
        <v>35.83</v>
      </c>
    </row>
    <row r="40" customFormat="false" ht="15" hidden="false" customHeight="false" outlineLevel="0" collapsed="false">
      <c r="A40" s="5" t="s">
        <v>24</v>
      </c>
      <c r="B40" s="5" t="n">
        <v>4</v>
      </c>
      <c r="C40" s="5" t="n">
        <v>215.46</v>
      </c>
      <c r="D40" s="5" t="n">
        <v>210.44</v>
      </c>
      <c r="E40" s="5" t="n">
        <v>284.7</v>
      </c>
      <c r="F40" s="5" t="n">
        <v>12.7</v>
      </c>
      <c r="G40" s="5" t="n">
        <v>11</v>
      </c>
      <c r="H40" s="5" t="n">
        <v>40.81</v>
      </c>
    </row>
    <row r="41" customFormat="false" ht="15" hidden="false" customHeight="false" outlineLevel="0" collapsed="false">
      <c r="A41" s="5" t="s">
        <v>24</v>
      </c>
      <c r="B41" s="5" t="n">
        <v>5</v>
      </c>
      <c r="C41" s="5" t="n">
        <v>210.22</v>
      </c>
      <c r="D41" s="5" t="n">
        <v>206.99</v>
      </c>
      <c r="E41" s="5" t="n">
        <v>269.77</v>
      </c>
      <c r="F41" s="5" t="n">
        <v>13</v>
      </c>
      <c r="G41" s="5" t="n">
        <v>10.9</v>
      </c>
      <c r="H41" s="5" t="n">
        <v>43.95</v>
      </c>
    </row>
    <row r="42" customFormat="false" ht="15" hidden="false" customHeight="false" outlineLevel="0" collapsed="false">
      <c r="A42" s="5" t="s">
        <v>42</v>
      </c>
      <c r="B42" s="5" t="n">
        <v>1</v>
      </c>
      <c r="C42" s="5" t="n">
        <v>207.99</v>
      </c>
      <c r="D42" s="5" t="n">
        <v>206.15</v>
      </c>
      <c r="E42" s="5" t="n">
        <v>269.1</v>
      </c>
      <c r="F42" s="5" t="n">
        <v>12.4</v>
      </c>
      <c r="G42" s="5" t="n">
        <v>10.8</v>
      </c>
      <c r="H42" s="5" t="n">
        <v>33.92</v>
      </c>
    </row>
    <row r="43" customFormat="false" ht="15" hidden="false" customHeight="false" outlineLevel="0" collapsed="false">
      <c r="A43" s="5" t="s">
        <v>42</v>
      </c>
      <c r="B43" s="5" t="n">
        <v>2</v>
      </c>
      <c r="C43" s="5" t="n">
        <v>213.19</v>
      </c>
      <c r="D43" s="5" t="n">
        <v>207.87</v>
      </c>
      <c r="E43" s="5" t="n">
        <v>278.11</v>
      </c>
      <c r="F43" s="5" t="n">
        <v>14</v>
      </c>
      <c r="G43" s="5" t="n">
        <v>11.4</v>
      </c>
      <c r="H43" s="5" t="n">
        <v>62.84</v>
      </c>
    </row>
    <row r="44" customFormat="false" ht="15" hidden="false" customHeight="false" outlineLevel="0" collapsed="false">
      <c r="A44" s="5" t="s">
        <v>42</v>
      </c>
      <c r="B44" s="5" t="n">
        <v>3</v>
      </c>
      <c r="C44" s="5" t="n">
        <v>209.99</v>
      </c>
      <c r="D44" s="5" t="n">
        <v>208.19</v>
      </c>
      <c r="E44" s="5" t="n">
        <v>272.72</v>
      </c>
      <c r="F44" s="5" t="n">
        <v>13.3</v>
      </c>
      <c r="G44" s="5" t="n">
        <v>10.9</v>
      </c>
      <c r="H44" s="5" t="n">
        <v>46.14</v>
      </c>
    </row>
    <row r="45" customFormat="false" ht="15" hidden="false" customHeight="false" outlineLevel="0" collapsed="false">
      <c r="A45" s="5" t="s">
        <v>42</v>
      </c>
      <c r="B45" s="5" t="n">
        <v>4</v>
      </c>
      <c r="C45" s="5" t="n">
        <v>210.67</v>
      </c>
      <c r="D45" s="5" t="n">
        <v>214.75</v>
      </c>
      <c r="E45" s="5" t="n">
        <v>256.3</v>
      </c>
      <c r="F45" s="5" t="n">
        <v>9.02</v>
      </c>
      <c r="G45" s="5" t="n">
        <v>8.34</v>
      </c>
      <c r="H45" s="5" t="n">
        <v>17.91</v>
      </c>
    </row>
    <row r="46" customFormat="false" ht="15" hidden="false" customHeight="false" outlineLevel="0" collapsed="false">
      <c r="A46" s="5" t="s">
        <v>42</v>
      </c>
      <c r="B46" s="5" t="n">
        <v>5</v>
      </c>
      <c r="C46" s="5" t="n">
        <v>211.42</v>
      </c>
      <c r="D46" s="5" t="n">
        <v>207.22</v>
      </c>
      <c r="E46" s="5" t="n">
        <v>266.55</v>
      </c>
      <c r="F46" s="5" t="n">
        <v>13.1</v>
      </c>
      <c r="G46" s="5" t="n">
        <v>11.05</v>
      </c>
      <c r="H46" s="5" t="n">
        <v>55.43</v>
      </c>
    </row>
    <row r="47" customFormat="false" ht="15" hidden="false" customHeight="false" outlineLevel="0" collapsed="false">
      <c r="A47" s="5" t="s">
        <v>43</v>
      </c>
      <c r="B47" s="5" t="n">
        <v>1</v>
      </c>
      <c r="C47" s="5" t="n">
        <v>216.88</v>
      </c>
      <c r="D47" s="5" t="n">
        <v>213.91</v>
      </c>
      <c r="E47" s="5" t="n">
        <v>289.98</v>
      </c>
      <c r="F47" s="5" t="n">
        <v>12.6</v>
      </c>
      <c r="G47" s="5" t="n">
        <v>10.85</v>
      </c>
      <c r="H47" s="5" t="n">
        <v>40.41</v>
      </c>
    </row>
    <row r="48" customFormat="false" ht="15" hidden="false" customHeight="false" outlineLevel="0" collapsed="false">
      <c r="A48" s="5" t="s">
        <v>43</v>
      </c>
      <c r="B48" s="5" t="n">
        <v>2</v>
      </c>
      <c r="C48" s="5" t="n">
        <v>214.56</v>
      </c>
      <c r="D48" s="5" t="n">
        <v>209.4</v>
      </c>
      <c r="E48" s="5" t="n">
        <v>286.11</v>
      </c>
      <c r="F48" s="5" t="n">
        <v>13.2</v>
      </c>
      <c r="G48" s="5" t="n">
        <v>11.4</v>
      </c>
      <c r="H48" s="5" t="n">
        <v>39.71</v>
      </c>
    </row>
    <row r="49" customFormat="false" ht="15" hidden="false" customHeight="false" outlineLevel="0" collapsed="false">
      <c r="A49" s="5" t="s">
        <v>43</v>
      </c>
      <c r="B49" s="5" t="n">
        <v>3</v>
      </c>
      <c r="C49" s="5" t="n">
        <v>215.05</v>
      </c>
      <c r="D49" s="5" t="n">
        <v>210.46</v>
      </c>
      <c r="E49" s="5" t="n">
        <v>282.77</v>
      </c>
      <c r="F49" s="5" t="n">
        <v>12.7</v>
      </c>
      <c r="G49" s="5" t="n">
        <v>11.25</v>
      </c>
      <c r="H49" s="5" t="n">
        <v>40.73</v>
      </c>
    </row>
    <row r="50" customFormat="false" ht="15" hidden="false" customHeight="false" outlineLevel="0" collapsed="false">
      <c r="A50" s="5" t="s">
        <v>43</v>
      </c>
      <c r="B50" s="5" t="n">
        <v>4</v>
      </c>
      <c r="C50" s="5" t="n">
        <v>210.61</v>
      </c>
      <c r="D50" s="5" t="n">
        <v>212.64</v>
      </c>
      <c r="E50" s="5" t="n">
        <v>264.63</v>
      </c>
      <c r="F50" s="5" t="n">
        <v>9.42</v>
      </c>
      <c r="G50" s="5" t="n">
        <v>8.8</v>
      </c>
      <c r="H50" s="5" t="n">
        <v>18.95</v>
      </c>
    </row>
    <row r="51" customFormat="false" ht="15" hidden="false" customHeight="false" outlineLevel="0" collapsed="false">
      <c r="A51" s="5" t="s">
        <v>43</v>
      </c>
      <c r="B51" s="5" t="n">
        <v>5</v>
      </c>
      <c r="C51" s="5" t="n">
        <v>209.14</v>
      </c>
      <c r="D51" s="5" t="n">
        <v>207.75</v>
      </c>
      <c r="E51" s="5" t="n">
        <v>267.45</v>
      </c>
      <c r="F51" s="5" t="n">
        <v>12.1</v>
      </c>
      <c r="G51" s="5" t="n">
        <v>10.15</v>
      </c>
      <c r="H51" s="5" t="n">
        <v>35.74</v>
      </c>
    </row>
    <row r="52" customFormat="false" ht="15" hidden="false" customHeight="false" outlineLevel="0" collapsed="false">
      <c r="A52" s="5" t="s">
        <v>44</v>
      </c>
      <c r="B52" s="5" t="n">
        <v>1</v>
      </c>
      <c r="C52" s="5" t="n">
        <v>211.05</v>
      </c>
      <c r="D52" s="5" t="n">
        <v>208.1</v>
      </c>
      <c r="E52" s="5" t="n">
        <v>278.19</v>
      </c>
      <c r="F52" s="5" t="n">
        <v>13</v>
      </c>
      <c r="G52" s="5" t="n">
        <v>10.75</v>
      </c>
      <c r="H52" s="5" t="n">
        <v>47.07</v>
      </c>
    </row>
    <row r="53" customFormat="false" ht="15" hidden="false" customHeight="false" outlineLevel="0" collapsed="false">
      <c r="A53" s="5" t="s">
        <v>44</v>
      </c>
      <c r="B53" s="5" t="n">
        <v>2</v>
      </c>
      <c r="C53" s="5" t="n">
        <v>214.92</v>
      </c>
      <c r="D53" s="5" t="n">
        <v>210.89</v>
      </c>
      <c r="E53" s="5" t="n">
        <v>276.69</v>
      </c>
      <c r="F53" s="5" t="n">
        <v>12.4</v>
      </c>
      <c r="G53" s="5" t="n">
        <v>11.15</v>
      </c>
      <c r="H53" s="5" t="n">
        <v>34.44</v>
      </c>
    </row>
    <row r="54" customFormat="false" ht="15" hidden="false" customHeight="false" outlineLevel="0" collapsed="false">
      <c r="A54" s="5" t="s">
        <v>44</v>
      </c>
      <c r="B54" s="5" t="n">
        <v>3</v>
      </c>
      <c r="C54" s="5" t="n">
        <v>214.24</v>
      </c>
      <c r="D54" s="5" t="n">
        <v>217.57</v>
      </c>
      <c r="E54" s="5" t="n">
        <v>269.37</v>
      </c>
      <c r="F54" s="5" t="n">
        <v>8.53</v>
      </c>
      <c r="G54" s="5" t="n">
        <v>8.18</v>
      </c>
      <c r="H54" s="5" t="n">
        <v>17.45</v>
      </c>
    </row>
    <row r="55" customFormat="false" ht="15" hidden="false" customHeight="false" outlineLevel="0" collapsed="false">
      <c r="A55" s="5" t="s">
        <v>44</v>
      </c>
      <c r="B55" s="5" t="n">
        <v>4</v>
      </c>
      <c r="C55" s="5" t="n">
        <v>214.81</v>
      </c>
      <c r="D55" s="5" t="n">
        <v>210.22</v>
      </c>
      <c r="E55" s="5" t="n">
        <v>288.62</v>
      </c>
      <c r="F55" s="5" t="n">
        <v>14.5</v>
      </c>
      <c r="G55" s="5" t="n">
        <v>10.65</v>
      </c>
      <c r="H55" s="5" t="n">
        <v>96.24</v>
      </c>
    </row>
    <row r="56" customFormat="false" ht="15" hidden="false" customHeight="false" outlineLevel="0" collapsed="false">
      <c r="A56" s="5" t="s">
        <v>44</v>
      </c>
      <c r="B56" s="5" t="n">
        <v>5</v>
      </c>
      <c r="C56" s="5" t="n">
        <v>207.01</v>
      </c>
      <c r="D56" s="5" t="n">
        <v>203.27</v>
      </c>
      <c r="E56" s="5" t="n">
        <v>265.14</v>
      </c>
      <c r="F56" s="5" t="n">
        <v>12.9</v>
      </c>
      <c r="G56" s="5" t="n">
        <v>10.9</v>
      </c>
      <c r="H56" s="5" t="n">
        <v>49.7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5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7" min="1" style="0" width="18"/>
  </cols>
  <sheetData>
    <row r="1" customFormat="false" ht="39.55" hidden="false" customHeight="false" outlineLevel="0" collapsed="false">
      <c r="A1" s="4" t="s">
        <v>31</v>
      </c>
      <c r="B1" s="4" t="s">
        <v>32</v>
      </c>
      <c r="C1" s="4" t="s">
        <v>45</v>
      </c>
      <c r="D1" s="4" t="s">
        <v>46</v>
      </c>
      <c r="E1" s="4" t="s">
        <v>36</v>
      </c>
      <c r="F1" s="4" t="s">
        <v>37</v>
      </c>
      <c r="G1" s="4" t="s">
        <v>38</v>
      </c>
    </row>
    <row r="2" customFormat="false" ht="15" hidden="false" customHeight="false" outlineLevel="0" collapsed="false">
      <c r="A2" s="5" t="s">
        <v>19</v>
      </c>
      <c r="B2" s="5" t="n">
        <v>1</v>
      </c>
      <c r="C2" s="5" t="n">
        <v>260.99</v>
      </c>
      <c r="D2" s="5" t="n">
        <v>65.25</v>
      </c>
      <c r="E2" s="5" t="n">
        <v>17.2</v>
      </c>
      <c r="F2" s="5" t="n">
        <v>15.9</v>
      </c>
      <c r="G2" s="5" t="n">
        <v>45.04</v>
      </c>
    </row>
    <row r="3" customFormat="false" ht="15" hidden="false" customHeight="false" outlineLevel="0" collapsed="false">
      <c r="A3" s="5" t="s">
        <v>19</v>
      </c>
      <c r="B3" s="5" t="n">
        <v>2</v>
      </c>
      <c r="C3" s="5" t="n">
        <v>259.07</v>
      </c>
      <c r="D3" s="5" t="n">
        <v>64.77</v>
      </c>
      <c r="E3" s="5" t="n">
        <v>19.5</v>
      </c>
      <c r="F3" s="5" t="n">
        <v>16.45</v>
      </c>
      <c r="G3" s="5" t="n">
        <v>105.04</v>
      </c>
    </row>
    <row r="4" customFormat="false" ht="15" hidden="false" customHeight="false" outlineLevel="0" collapsed="false">
      <c r="A4" s="5" t="s">
        <v>19</v>
      </c>
      <c r="B4" s="5" t="n">
        <v>3</v>
      </c>
      <c r="C4" s="5" t="n">
        <v>261.38</v>
      </c>
      <c r="D4" s="5" t="n">
        <v>65.34</v>
      </c>
      <c r="E4" s="5" t="n">
        <v>17.8</v>
      </c>
      <c r="F4" s="5" t="n">
        <v>16.4</v>
      </c>
      <c r="G4" s="5" t="n">
        <v>60.88</v>
      </c>
    </row>
    <row r="5" customFormat="false" ht="15" hidden="false" customHeight="false" outlineLevel="0" collapsed="false">
      <c r="A5" s="5" t="s">
        <v>19</v>
      </c>
      <c r="B5" s="5" t="n">
        <v>4</v>
      </c>
      <c r="C5" s="5" t="n">
        <v>258.36</v>
      </c>
      <c r="D5" s="5" t="n">
        <v>64.59</v>
      </c>
      <c r="E5" s="5" t="n">
        <v>17.9</v>
      </c>
      <c r="F5" s="5" t="n">
        <v>16.25</v>
      </c>
      <c r="G5" s="5" t="n">
        <v>51.95</v>
      </c>
    </row>
    <row r="6" customFormat="false" ht="15" hidden="false" customHeight="false" outlineLevel="0" collapsed="false">
      <c r="A6" s="5" t="s">
        <v>19</v>
      </c>
      <c r="B6" s="5" t="n">
        <v>5</v>
      </c>
      <c r="C6" s="5" t="n">
        <v>257.12</v>
      </c>
      <c r="D6" s="5" t="n">
        <v>64.28</v>
      </c>
      <c r="E6" s="5" t="n">
        <v>17.9</v>
      </c>
      <c r="F6" s="5" t="n">
        <v>17.1</v>
      </c>
      <c r="G6" s="5" t="n">
        <v>52.12</v>
      </c>
    </row>
    <row r="7" customFormat="false" ht="15" hidden="false" customHeight="false" outlineLevel="0" collapsed="false">
      <c r="A7" s="5" t="s">
        <v>16</v>
      </c>
      <c r="B7" s="5" t="n">
        <v>1</v>
      </c>
      <c r="C7" s="5" t="n">
        <v>256.34</v>
      </c>
      <c r="D7" s="5" t="n">
        <v>64.09</v>
      </c>
      <c r="E7" s="5" t="n">
        <v>16.6</v>
      </c>
      <c r="F7" s="5" t="n">
        <v>16</v>
      </c>
      <c r="G7" s="5" t="n">
        <v>40.9</v>
      </c>
    </row>
    <row r="8" customFormat="false" ht="15" hidden="false" customHeight="false" outlineLevel="0" collapsed="false">
      <c r="A8" s="5" t="s">
        <v>16</v>
      </c>
      <c r="B8" s="5" t="n">
        <v>2</v>
      </c>
      <c r="C8" s="5" t="n">
        <v>263.3</v>
      </c>
      <c r="D8" s="5" t="n">
        <v>65.83</v>
      </c>
      <c r="E8" s="5" t="n">
        <v>17.6</v>
      </c>
      <c r="F8" s="5" t="n">
        <v>16.15</v>
      </c>
      <c r="G8" s="5" t="n">
        <v>54.06</v>
      </c>
    </row>
    <row r="9" customFormat="false" ht="15" hidden="false" customHeight="false" outlineLevel="0" collapsed="false">
      <c r="A9" s="5" t="s">
        <v>16</v>
      </c>
      <c r="B9" s="5" t="n">
        <v>3</v>
      </c>
      <c r="C9" s="5" t="n">
        <v>259.17</v>
      </c>
      <c r="D9" s="5" t="n">
        <v>64.79</v>
      </c>
      <c r="E9" s="5" t="n">
        <v>17.3</v>
      </c>
      <c r="F9" s="5" t="n">
        <v>16.2</v>
      </c>
      <c r="G9" s="5" t="n">
        <v>42.61</v>
      </c>
    </row>
    <row r="10" customFormat="false" ht="15" hidden="false" customHeight="false" outlineLevel="0" collapsed="false">
      <c r="A10" s="5" t="s">
        <v>16</v>
      </c>
      <c r="B10" s="5" t="n">
        <v>4</v>
      </c>
      <c r="C10" s="5" t="n">
        <v>263.02</v>
      </c>
      <c r="D10" s="5" t="n">
        <v>65.75</v>
      </c>
      <c r="E10" s="5" t="n">
        <v>17.4</v>
      </c>
      <c r="F10" s="5" t="n">
        <v>16.45</v>
      </c>
      <c r="G10" s="5" t="n">
        <v>45.11</v>
      </c>
    </row>
    <row r="11" customFormat="false" ht="15" hidden="false" customHeight="false" outlineLevel="0" collapsed="false">
      <c r="A11" s="5" t="s">
        <v>16</v>
      </c>
      <c r="B11" s="5" t="n">
        <v>5</v>
      </c>
      <c r="C11" s="5" t="n">
        <v>259.89</v>
      </c>
      <c r="D11" s="5" t="n">
        <v>64.97</v>
      </c>
      <c r="E11" s="5" t="n">
        <v>19.1</v>
      </c>
      <c r="F11" s="5" t="n">
        <v>16.45</v>
      </c>
      <c r="G11" s="5" t="n">
        <v>90.4</v>
      </c>
    </row>
    <row r="12" customFormat="false" ht="15" hidden="false" customHeight="false" outlineLevel="0" collapsed="false">
      <c r="A12" s="5" t="s">
        <v>39</v>
      </c>
      <c r="B12" s="5" t="n">
        <v>1</v>
      </c>
      <c r="C12" s="5" t="n">
        <v>257.51</v>
      </c>
      <c r="D12" s="5" t="n">
        <v>64.38</v>
      </c>
      <c r="E12" s="5" t="n">
        <v>17.2</v>
      </c>
      <c r="F12" s="5" t="n">
        <v>16.85</v>
      </c>
      <c r="G12" s="5" t="n">
        <v>38.77</v>
      </c>
    </row>
    <row r="13" customFormat="false" ht="15" hidden="false" customHeight="false" outlineLevel="0" collapsed="false">
      <c r="A13" s="5" t="s">
        <v>39</v>
      </c>
      <c r="B13" s="5" t="n">
        <v>2</v>
      </c>
      <c r="C13" s="5" t="n">
        <v>257.36</v>
      </c>
      <c r="D13" s="5" t="n">
        <v>64.34</v>
      </c>
      <c r="E13" s="5" t="n">
        <v>16.6</v>
      </c>
      <c r="F13" s="5" t="n">
        <v>15.25</v>
      </c>
      <c r="G13" s="5" t="n">
        <v>46.01</v>
      </c>
    </row>
    <row r="14" customFormat="false" ht="15" hidden="false" customHeight="false" outlineLevel="0" collapsed="false">
      <c r="A14" s="5" t="s">
        <v>39</v>
      </c>
      <c r="B14" s="5" t="n">
        <v>3</v>
      </c>
      <c r="C14" s="5" t="n">
        <v>260.23</v>
      </c>
      <c r="D14" s="5" t="n">
        <v>65.06</v>
      </c>
      <c r="E14" s="5" t="n">
        <v>16.8</v>
      </c>
      <c r="F14" s="5" t="n">
        <v>15.9</v>
      </c>
      <c r="G14" s="5" t="n">
        <v>40.45</v>
      </c>
    </row>
    <row r="15" customFormat="false" ht="15" hidden="false" customHeight="false" outlineLevel="0" collapsed="false">
      <c r="A15" s="5" t="s">
        <v>39</v>
      </c>
      <c r="B15" s="5" t="n">
        <v>4</v>
      </c>
      <c r="C15" s="5" t="n">
        <v>256.63</v>
      </c>
      <c r="D15" s="5" t="n">
        <v>64.16</v>
      </c>
      <c r="E15" s="5" t="n">
        <v>17.3</v>
      </c>
      <c r="F15" s="5" t="n">
        <v>16</v>
      </c>
      <c r="G15" s="5" t="n">
        <v>42.83</v>
      </c>
    </row>
    <row r="16" customFormat="false" ht="15" hidden="false" customHeight="false" outlineLevel="0" collapsed="false">
      <c r="A16" s="5" t="s">
        <v>39</v>
      </c>
      <c r="B16" s="5" t="n">
        <v>5</v>
      </c>
      <c r="C16" s="5" t="n">
        <v>258.66</v>
      </c>
      <c r="D16" s="5" t="n">
        <v>64.67</v>
      </c>
      <c r="E16" s="5" t="n">
        <v>17.6</v>
      </c>
      <c r="F16" s="5" t="n">
        <v>16.8</v>
      </c>
      <c r="G16" s="5" t="n">
        <v>57.6</v>
      </c>
    </row>
    <row r="17" customFormat="false" ht="15" hidden="false" customHeight="false" outlineLevel="0" collapsed="false">
      <c r="A17" s="5" t="s">
        <v>29</v>
      </c>
      <c r="B17" s="5" t="n">
        <v>1</v>
      </c>
      <c r="C17" s="5" t="n">
        <v>258.88</v>
      </c>
      <c r="D17" s="5" t="n">
        <v>64.72</v>
      </c>
      <c r="E17" s="5" t="n">
        <v>17.6</v>
      </c>
      <c r="F17" s="5" t="n">
        <v>16.2</v>
      </c>
      <c r="G17" s="5" t="n">
        <v>45.99</v>
      </c>
    </row>
    <row r="18" customFormat="false" ht="15" hidden="false" customHeight="false" outlineLevel="0" collapsed="false">
      <c r="A18" s="5" t="s">
        <v>29</v>
      </c>
      <c r="B18" s="5" t="n">
        <v>2</v>
      </c>
      <c r="C18" s="5" t="n">
        <v>261.14</v>
      </c>
      <c r="D18" s="5" t="n">
        <v>65.28</v>
      </c>
      <c r="E18" s="5" t="n">
        <v>17.7</v>
      </c>
      <c r="F18" s="5" t="n">
        <v>16.75</v>
      </c>
      <c r="G18" s="5" t="n">
        <v>50.65</v>
      </c>
    </row>
    <row r="19" customFormat="false" ht="15" hidden="false" customHeight="false" outlineLevel="0" collapsed="false">
      <c r="A19" s="5" t="s">
        <v>29</v>
      </c>
      <c r="B19" s="5" t="n">
        <v>3</v>
      </c>
      <c r="C19" s="5" t="n">
        <v>259.8</v>
      </c>
      <c r="D19" s="5" t="n">
        <v>64.95</v>
      </c>
      <c r="E19" s="5" t="n">
        <v>18</v>
      </c>
      <c r="F19" s="5" t="n">
        <v>16.65</v>
      </c>
      <c r="G19" s="5" t="n">
        <v>48.89</v>
      </c>
    </row>
    <row r="20" customFormat="false" ht="15" hidden="false" customHeight="false" outlineLevel="0" collapsed="false">
      <c r="A20" s="5" t="s">
        <v>29</v>
      </c>
      <c r="B20" s="5" t="n">
        <v>4</v>
      </c>
      <c r="C20" s="5" t="n">
        <v>259.98</v>
      </c>
      <c r="D20" s="5" t="n">
        <v>65</v>
      </c>
      <c r="E20" s="5" t="n">
        <v>17.1</v>
      </c>
      <c r="F20" s="5" t="n">
        <v>16</v>
      </c>
      <c r="G20" s="5" t="n">
        <v>40.7</v>
      </c>
    </row>
    <row r="21" customFormat="false" ht="15" hidden="false" customHeight="false" outlineLevel="0" collapsed="false">
      <c r="A21" s="5" t="s">
        <v>29</v>
      </c>
      <c r="B21" s="5" t="n">
        <v>5</v>
      </c>
      <c r="C21" s="5" t="n">
        <v>251.67</v>
      </c>
      <c r="D21" s="5" t="n">
        <v>62.92</v>
      </c>
      <c r="E21" s="5" t="n">
        <v>16.8</v>
      </c>
      <c r="F21" s="5" t="n">
        <v>15.95</v>
      </c>
      <c r="G21" s="5" t="n">
        <v>43.36</v>
      </c>
    </row>
    <row r="22" customFormat="false" ht="15" hidden="false" customHeight="false" outlineLevel="0" collapsed="false">
      <c r="A22" s="5" t="s">
        <v>21</v>
      </c>
      <c r="B22" s="5" t="n">
        <v>1</v>
      </c>
      <c r="C22" s="5" t="n">
        <v>254.61</v>
      </c>
      <c r="D22" s="5" t="n">
        <v>63.65</v>
      </c>
      <c r="E22" s="5" t="n">
        <v>17.3</v>
      </c>
      <c r="F22" s="5" t="n">
        <v>16.3</v>
      </c>
      <c r="G22" s="5" t="n">
        <v>45.66</v>
      </c>
    </row>
    <row r="23" customFormat="false" ht="15" hidden="false" customHeight="false" outlineLevel="0" collapsed="false">
      <c r="A23" s="5" t="s">
        <v>21</v>
      </c>
      <c r="B23" s="5" t="n">
        <v>2</v>
      </c>
      <c r="C23" s="5" t="n">
        <v>262.05</v>
      </c>
      <c r="D23" s="5" t="n">
        <v>65.51</v>
      </c>
      <c r="E23" s="5" t="n">
        <v>17</v>
      </c>
      <c r="F23" s="5" t="n">
        <v>15.85</v>
      </c>
      <c r="G23" s="5" t="n">
        <v>38.39</v>
      </c>
    </row>
    <row r="24" customFormat="false" ht="15" hidden="false" customHeight="false" outlineLevel="0" collapsed="false">
      <c r="A24" s="5" t="s">
        <v>21</v>
      </c>
      <c r="B24" s="5" t="n">
        <v>3</v>
      </c>
      <c r="C24" s="5" t="n">
        <v>257.35</v>
      </c>
      <c r="D24" s="5" t="n">
        <v>64.34</v>
      </c>
      <c r="E24" s="5" t="n">
        <v>17.6</v>
      </c>
      <c r="F24" s="5" t="n">
        <v>16.7</v>
      </c>
      <c r="G24" s="5" t="n">
        <v>48.81</v>
      </c>
    </row>
    <row r="25" customFormat="false" ht="15" hidden="false" customHeight="false" outlineLevel="0" collapsed="false">
      <c r="A25" s="5" t="s">
        <v>21</v>
      </c>
      <c r="B25" s="5" t="n">
        <v>4</v>
      </c>
      <c r="C25" s="5" t="n">
        <v>261.21</v>
      </c>
      <c r="D25" s="5" t="n">
        <v>65.3</v>
      </c>
      <c r="E25" s="5" t="n">
        <v>16.6</v>
      </c>
      <c r="F25" s="5" t="n">
        <v>16.3</v>
      </c>
      <c r="G25" s="5" t="n">
        <v>34.84</v>
      </c>
    </row>
    <row r="26" customFormat="false" ht="15" hidden="false" customHeight="false" outlineLevel="0" collapsed="false">
      <c r="A26" s="5" t="s">
        <v>21</v>
      </c>
      <c r="B26" s="5" t="n">
        <v>5</v>
      </c>
      <c r="C26" s="5" t="n">
        <v>256.83</v>
      </c>
      <c r="D26" s="5" t="n">
        <v>64.21</v>
      </c>
      <c r="E26" s="5" t="n">
        <v>17.3</v>
      </c>
      <c r="F26" s="5" t="n">
        <v>15.8</v>
      </c>
      <c r="G26" s="5" t="n">
        <v>48.51</v>
      </c>
    </row>
    <row r="27" customFormat="false" ht="15" hidden="false" customHeight="false" outlineLevel="0" collapsed="false">
      <c r="A27" s="5" t="s">
        <v>40</v>
      </c>
      <c r="B27" s="5" t="n">
        <v>1</v>
      </c>
      <c r="C27" s="5" t="n">
        <v>258.95</v>
      </c>
      <c r="D27" s="5" t="n">
        <v>64.74</v>
      </c>
      <c r="E27" s="5" t="n">
        <v>16.9</v>
      </c>
      <c r="F27" s="5" t="n">
        <v>16.3</v>
      </c>
      <c r="G27" s="5" t="n">
        <v>37</v>
      </c>
    </row>
    <row r="28" customFormat="false" ht="15" hidden="false" customHeight="false" outlineLevel="0" collapsed="false">
      <c r="A28" s="5" t="s">
        <v>40</v>
      </c>
      <c r="B28" s="5" t="n">
        <v>2</v>
      </c>
      <c r="C28" s="5" t="n">
        <v>258.9</v>
      </c>
      <c r="D28" s="5" t="n">
        <v>64.72</v>
      </c>
      <c r="E28" s="5" t="n">
        <v>16.1</v>
      </c>
      <c r="F28" s="5" t="n">
        <v>15.8</v>
      </c>
      <c r="G28" s="5" t="n">
        <v>35.51</v>
      </c>
    </row>
    <row r="29" customFormat="false" ht="15" hidden="false" customHeight="false" outlineLevel="0" collapsed="false">
      <c r="A29" s="5" t="s">
        <v>40</v>
      </c>
      <c r="B29" s="5" t="n">
        <v>3</v>
      </c>
      <c r="C29" s="5" t="n">
        <v>256.78</v>
      </c>
      <c r="D29" s="5" t="n">
        <v>64.19</v>
      </c>
      <c r="E29" s="5" t="n">
        <v>16.5</v>
      </c>
      <c r="F29" s="5" t="n">
        <v>16.35</v>
      </c>
      <c r="G29" s="5" t="n">
        <v>36.81</v>
      </c>
    </row>
    <row r="30" customFormat="false" ht="15" hidden="false" customHeight="false" outlineLevel="0" collapsed="false">
      <c r="A30" s="5" t="s">
        <v>40</v>
      </c>
      <c r="B30" s="5" t="n">
        <v>4</v>
      </c>
      <c r="C30" s="5" t="n">
        <v>258.19</v>
      </c>
      <c r="D30" s="5" t="n">
        <v>64.55</v>
      </c>
      <c r="E30" s="5" t="n">
        <v>17</v>
      </c>
      <c r="F30" s="5" t="n">
        <v>16.35</v>
      </c>
      <c r="G30" s="5" t="n">
        <v>40.81</v>
      </c>
    </row>
    <row r="31" customFormat="false" ht="15" hidden="false" customHeight="false" outlineLevel="0" collapsed="false">
      <c r="A31" s="5" t="s">
        <v>40</v>
      </c>
      <c r="B31" s="5" t="n">
        <v>5</v>
      </c>
      <c r="C31" s="5" t="n">
        <v>256.01</v>
      </c>
      <c r="D31" s="5" t="n">
        <v>64</v>
      </c>
      <c r="E31" s="5" t="n">
        <v>16.2</v>
      </c>
      <c r="F31" s="5" t="n">
        <v>15.65</v>
      </c>
      <c r="G31" s="5" t="n">
        <v>36.82</v>
      </c>
    </row>
    <row r="32" customFormat="false" ht="15" hidden="false" customHeight="false" outlineLevel="0" collapsed="false">
      <c r="A32" s="5" t="s">
        <v>41</v>
      </c>
      <c r="B32" s="5" t="n">
        <v>1</v>
      </c>
      <c r="C32" s="5" t="n">
        <v>259.06</v>
      </c>
      <c r="D32" s="5" t="n">
        <v>64.77</v>
      </c>
      <c r="E32" s="5" t="n">
        <v>16.8</v>
      </c>
      <c r="F32" s="5" t="n">
        <v>16.2</v>
      </c>
      <c r="G32" s="5" t="n">
        <v>35.25</v>
      </c>
    </row>
    <row r="33" customFormat="false" ht="15" hidden="false" customHeight="false" outlineLevel="0" collapsed="false">
      <c r="A33" s="5" t="s">
        <v>41</v>
      </c>
      <c r="B33" s="5" t="n">
        <v>2</v>
      </c>
      <c r="C33" s="5" t="n">
        <v>257.96</v>
      </c>
      <c r="D33" s="5" t="n">
        <v>64.49</v>
      </c>
      <c r="E33" s="5" t="n">
        <v>17.2</v>
      </c>
      <c r="F33" s="5" t="n">
        <v>16.1</v>
      </c>
      <c r="G33" s="5" t="n">
        <v>44.11</v>
      </c>
    </row>
    <row r="34" customFormat="false" ht="15" hidden="false" customHeight="false" outlineLevel="0" collapsed="false">
      <c r="A34" s="5" t="s">
        <v>41</v>
      </c>
      <c r="B34" s="5" t="n">
        <v>3</v>
      </c>
      <c r="C34" s="5" t="n">
        <v>262.55</v>
      </c>
      <c r="D34" s="5" t="n">
        <v>65.64</v>
      </c>
      <c r="E34" s="5" t="n">
        <v>16.5</v>
      </c>
      <c r="F34" s="5" t="n">
        <v>16</v>
      </c>
      <c r="G34" s="5" t="n">
        <v>36.71</v>
      </c>
    </row>
    <row r="35" customFormat="false" ht="15" hidden="false" customHeight="false" outlineLevel="0" collapsed="false">
      <c r="A35" s="5" t="s">
        <v>41</v>
      </c>
      <c r="B35" s="5" t="n">
        <v>4</v>
      </c>
      <c r="C35" s="5" t="n">
        <v>257.37</v>
      </c>
      <c r="D35" s="5" t="n">
        <v>64.34</v>
      </c>
      <c r="E35" s="5" t="n">
        <v>16.8</v>
      </c>
      <c r="F35" s="5" t="n">
        <v>16.4</v>
      </c>
      <c r="G35" s="5" t="n">
        <v>36.35</v>
      </c>
    </row>
    <row r="36" customFormat="false" ht="15" hidden="false" customHeight="false" outlineLevel="0" collapsed="false">
      <c r="A36" s="5" t="s">
        <v>41</v>
      </c>
      <c r="B36" s="5" t="n">
        <v>5</v>
      </c>
      <c r="C36" s="5" t="n">
        <v>260.49</v>
      </c>
      <c r="D36" s="5" t="n">
        <v>65.12</v>
      </c>
      <c r="E36" s="5" t="n">
        <v>17.9</v>
      </c>
      <c r="F36" s="5" t="n">
        <v>16.2</v>
      </c>
      <c r="G36" s="5" t="n">
        <v>79.01</v>
      </c>
    </row>
    <row r="37" customFormat="false" ht="15" hidden="false" customHeight="false" outlineLevel="0" collapsed="false">
      <c r="A37" s="5" t="s">
        <v>24</v>
      </c>
      <c r="B37" s="5" t="n">
        <v>1</v>
      </c>
      <c r="C37" s="5" t="n">
        <v>261.98</v>
      </c>
      <c r="D37" s="5" t="n">
        <v>65.5</v>
      </c>
      <c r="E37" s="5" t="n">
        <v>16.5</v>
      </c>
      <c r="F37" s="5" t="n">
        <v>15.8</v>
      </c>
      <c r="G37" s="5" t="n">
        <v>36.74</v>
      </c>
    </row>
    <row r="38" customFormat="false" ht="15" hidden="false" customHeight="false" outlineLevel="0" collapsed="false">
      <c r="A38" s="5" t="s">
        <v>24</v>
      </c>
      <c r="B38" s="5" t="n">
        <v>2</v>
      </c>
      <c r="C38" s="5" t="n">
        <v>259.62</v>
      </c>
      <c r="D38" s="5" t="n">
        <v>64.91</v>
      </c>
      <c r="E38" s="5" t="n">
        <v>17.1</v>
      </c>
      <c r="F38" s="5" t="n">
        <v>15.95</v>
      </c>
      <c r="G38" s="5" t="n">
        <v>48.59</v>
      </c>
    </row>
    <row r="39" customFormat="false" ht="15" hidden="false" customHeight="false" outlineLevel="0" collapsed="false">
      <c r="A39" s="5" t="s">
        <v>24</v>
      </c>
      <c r="B39" s="5" t="n">
        <v>3</v>
      </c>
      <c r="C39" s="5" t="n">
        <v>263.9</v>
      </c>
      <c r="D39" s="5" t="n">
        <v>65.97</v>
      </c>
      <c r="E39" s="5" t="n">
        <v>16.6</v>
      </c>
      <c r="F39" s="5" t="n">
        <v>16.3</v>
      </c>
      <c r="G39" s="5" t="n">
        <v>37.61</v>
      </c>
    </row>
    <row r="40" customFormat="false" ht="15" hidden="false" customHeight="false" outlineLevel="0" collapsed="false">
      <c r="A40" s="5" t="s">
        <v>24</v>
      </c>
      <c r="B40" s="5" t="n">
        <v>4</v>
      </c>
      <c r="C40" s="5" t="n">
        <v>258.44</v>
      </c>
      <c r="D40" s="5" t="n">
        <v>64.61</v>
      </c>
      <c r="E40" s="5" t="n">
        <v>16.2</v>
      </c>
      <c r="F40" s="5" t="n">
        <v>16.2</v>
      </c>
      <c r="G40" s="5" t="n">
        <v>33.07</v>
      </c>
    </row>
    <row r="41" customFormat="false" ht="15" hidden="false" customHeight="false" outlineLevel="0" collapsed="false">
      <c r="A41" s="5" t="s">
        <v>24</v>
      </c>
      <c r="B41" s="5" t="n">
        <v>5</v>
      </c>
      <c r="C41" s="5" t="n">
        <v>256.25</v>
      </c>
      <c r="D41" s="5" t="n">
        <v>64.06</v>
      </c>
      <c r="E41" s="5" t="n">
        <v>16.6</v>
      </c>
      <c r="F41" s="5" t="n">
        <v>15.8</v>
      </c>
      <c r="G41" s="5" t="n">
        <v>43.66</v>
      </c>
    </row>
    <row r="42" customFormat="false" ht="15" hidden="false" customHeight="false" outlineLevel="0" collapsed="false">
      <c r="A42" s="5" t="s">
        <v>42</v>
      </c>
      <c r="B42" s="5" t="n">
        <v>1</v>
      </c>
      <c r="C42" s="5" t="n">
        <v>262.08</v>
      </c>
      <c r="D42" s="5" t="n">
        <v>65.52</v>
      </c>
      <c r="E42" s="5" t="n">
        <v>18.3</v>
      </c>
      <c r="F42" s="5" t="n">
        <v>16.6</v>
      </c>
      <c r="G42" s="5" t="n">
        <v>53.64</v>
      </c>
    </row>
    <row r="43" customFormat="false" ht="15" hidden="false" customHeight="false" outlineLevel="0" collapsed="false">
      <c r="A43" s="5" t="s">
        <v>42</v>
      </c>
      <c r="B43" s="5" t="n">
        <v>2</v>
      </c>
      <c r="C43" s="5" t="n">
        <v>258.52</v>
      </c>
      <c r="D43" s="5" t="n">
        <v>64.63</v>
      </c>
      <c r="E43" s="5" t="n">
        <v>17</v>
      </c>
      <c r="F43" s="5" t="n">
        <v>16.35</v>
      </c>
      <c r="G43" s="5" t="n">
        <v>38.98</v>
      </c>
    </row>
    <row r="44" customFormat="false" ht="15" hidden="false" customHeight="false" outlineLevel="0" collapsed="false">
      <c r="A44" s="5" t="s">
        <v>42</v>
      </c>
      <c r="B44" s="5" t="n">
        <v>3</v>
      </c>
      <c r="C44" s="5" t="n">
        <v>259.49</v>
      </c>
      <c r="D44" s="5" t="n">
        <v>64.87</v>
      </c>
      <c r="E44" s="5" t="n">
        <v>18.4</v>
      </c>
      <c r="F44" s="5" t="n">
        <v>16.6</v>
      </c>
      <c r="G44" s="5" t="n">
        <v>67.9</v>
      </c>
    </row>
    <row r="45" customFormat="false" ht="15" hidden="false" customHeight="false" outlineLevel="0" collapsed="false">
      <c r="A45" s="5" t="s">
        <v>42</v>
      </c>
      <c r="B45" s="5" t="n">
        <v>4</v>
      </c>
      <c r="C45" s="5" t="n">
        <v>256.6</v>
      </c>
      <c r="D45" s="5" t="n">
        <v>64.15</v>
      </c>
      <c r="E45" s="5" t="n">
        <v>16.4</v>
      </c>
      <c r="F45" s="5" t="n">
        <v>15.9</v>
      </c>
      <c r="G45" s="5" t="n">
        <v>42.8</v>
      </c>
    </row>
    <row r="46" customFormat="false" ht="15" hidden="false" customHeight="false" outlineLevel="0" collapsed="false">
      <c r="A46" s="5" t="s">
        <v>42</v>
      </c>
      <c r="B46" s="5" t="n">
        <v>5</v>
      </c>
      <c r="C46" s="5" t="n">
        <v>259.96</v>
      </c>
      <c r="D46" s="5" t="n">
        <v>64.99</v>
      </c>
      <c r="E46" s="5" t="n">
        <v>16.9</v>
      </c>
      <c r="F46" s="5" t="n">
        <v>16.2</v>
      </c>
      <c r="G46" s="5" t="n">
        <v>38.46</v>
      </c>
    </row>
    <row r="47" customFormat="false" ht="15" hidden="false" customHeight="false" outlineLevel="0" collapsed="false">
      <c r="A47" s="5" t="s">
        <v>43</v>
      </c>
      <c r="B47" s="5" t="n">
        <v>1</v>
      </c>
      <c r="C47" s="5" t="n">
        <v>258.6</v>
      </c>
      <c r="D47" s="5" t="n">
        <v>64.65</v>
      </c>
      <c r="E47" s="5" t="n">
        <v>16.9</v>
      </c>
      <c r="F47" s="5" t="n">
        <v>16.4</v>
      </c>
      <c r="G47" s="5" t="n">
        <v>41.52</v>
      </c>
    </row>
    <row r="48" customFormat="false" ht="15" hidden="false" customHeight="false" outlineLevel="0" collapsed="false">
      <c r="A48" s="5" t="s">
        <v>43</v>
      </c>
      <c r="B48" s="5" t="n">
        <v>2</v>
      </c>
      <c r="C48" s="5" t="n">
        <v>261.91</v>
      </c>
      <c r="D48" s="5" t="n">
        <v>65.48</v>
      </c>
      <c r="E48" s="5" t="n">
        <v>16.7</v>
      </c>
      <c r="F48" s="5" t="n">
        <v>16.35</v>
      </c>
      <c r="G48" s="5" t="n">
        <v>37.3</v>
      </c>
    </row>
    <row r="49" customFormat="false" ht="15" hidden="false" customHeight="false" outlineLevel="0" collapsed="false">
      <c r="A49" s="5" t="s">
        <v>43</v>
      </c>
      <c r="B49" s="5" t="n">
        <v>3</v>
      </c>
      <c r="C49" s="5" t="n">
        <v>259.43</v>
      </c>
      <c r="D49" s="5" t="n">
        <v>64.86</v>
      </c>
      <c r="E49" s="5" t="n">
        <v>21</v>
      </c>
      <c r="F49" s="5" t="n">
        <v>16.7</v>
      </c>
      <c r="G49" s="5" t="n">
        <v>126.53</v>
      </c>
    </row>
    <row r="50" customFormat="false" ht="15" hidden="false" customHeight="false" outlineLevel="0" collapsed="false">
      <c r="A50" s="5" t="s">
        <v>43</v>
      </c>
      <c r="B50" s="5" t="n">
        <v>4</v>
      </c>
      <c r="C50" s="5" t="n">
        <v>259.54</v>
      </c>
      <c r="D50" s="5" t="n">
        <v>64.88</v>
      </c>
      <c r="E50" s="5" t="n">
        <v>16.9</v>
      </c>
      <c r="F50" s="5" t="n">
        <v>15.85</v>
      </c>
      <c r="G50" s="5" t="n">
        <v>43.86</v>
      </c>
    </row>
    <row r="51" customFormat="false" ht="15" hidden="false" customHeight="false" outlineLevel="0" collapsed="false">
      <c r="A51" s="5" t="s">
        <v>43</v>
      </c>
      <c r="B51" s="5" t="n">
        <v>5</v>
      </c>
      <c r="C51" s="5" t="n">
        <v>254.86</v>
      </c>
      <c r="D51" s="5" t="n">
        <v>63.72</v>
      </c>
      <c r="E51" s="5" t="n">
        <v>16.7</v>
      </c>
      <c r="F51" s="5" t="n">
        <v>15.95</v>
      </c>
      <c r="G51" s="5" t="n">
        <v>43.15</v>
      </c>
    </row>
    <row r="52" customFormat="false" ht="15" hidden="false" customHeight="false" outlineLevel="0" collapsed="false">
      <c r="A52" s="5" t="s">
        <v>44</v>
      </c>
      <c r="B52" s="5" t="n">
        <v>1</v>
      </c>
      <c r="C52" s="5" t="n">
        <v>257.34</v>
      </c>
      <c r="D52" s="5" t="n">
        <v>64.33</v>
      </c>
      <c r="E52" s="5" t="n">
        <v>17.1</v>
      </c>
      <c r="F52" s="5" t="n">
        <v>16.65</v>
      </c>
      <c r="G52" s="5" t="n">
        <v>46.71</v>
      </c>
    </row>
    <row r="53" customFormat="false" ht="15" hidden="false" customHeight="false" outlineLevel="0" collapsed="false">
      <c r="A53" s="5" t="s">
        <v>44</v>
      </c>
      <c r="B53" s="5" t="n">
        <v>2</v>
      </c>
      <c r="C53" s="5" t="n">
        <v>257.92</v>
      </c>
      <c r="D53" s="5" t="n">
        <v>64.48</v>
      </c>
      <c r="E53" s="5" t="n">
        <v>17.1</v>
      </c>
      <c r="F53" s="5" t="n">
        <v>16.45</v>
      </c>
      <c r="G53" s="5" t="n">
        <v>42.6</v>
      </c>
    </row>
    <row r="54" customFormat="false" ht="15" hidden="false" customHeight="false" outlineLevel="0" collapsed="false">
      <c r="A54" s="5" t="s">
        <v>44</v>
      </c>
      <c r="B54" s="5" t="n">
        <v>3</v>
      </c>
      <c r="C54" s="5" t="n">
        <v>262.47</v>
      </c>
      <c r="D54" s="5" t="n">
        <v>65.62</v>
      </c>
      <c r="E54" s="5" t="n">
        <v>18</v>
      </c>
      <c r="F54" s="5" t="n">
        <v>16.5</v>
      </c>
      <c r="G54" s="5" t="n">
        <v>54.36</v>
      </c>
    </row>
    <row r="55" customFormat="false" ht="15" hidden="false" customHeight="false" outlineLevel="0" collapsed="false">
      <c r="A55" s="5" t="s">
        <v>44</v>
      </c>
      <c r="B55" s="5" t="n">
        <v>4</v>
      </c>
      <c r="C55" s="5" t="n">
        <v>256.3</v>
      </c>
      <c r="D55" s="5" t="n">
        <v>64.08</v>
      </c>
      <c r="E55" s="5" t="n">
        <v>17.1</v>
      </c>
      <c r="F55" s="5" t="n">
        <v>15.7</v>
      </c>
      <c r="G55" s="5" t="n">
        <v>65</v>
      </c>
    </row>
    <row r="56" customFormat="false" ht="15" hidden="false" customHeight="false" outlineLevel="0" collapsed="false">
      <c r="A56" s="5" t="s">
        <v>44</v>
      </c>
      <c r="B56" s="5" t="n">
        <v>5</v>
      </c>
      <c r="C56" s="5" t="n">
        <v>259.89</v>
      </c>
      <c r="D56" s="5" t="n">
        <v>64.97</v>
      </c>
      <c r="E56" s="5" t="n">
        <v>17.7</v>
      </c>
      <c r="F56" s="5" t="n">
        <v>16.05</v>
      </c>
      <c r="G56" s="5" t="n">
        <v>60.53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5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7" min="1" style="0" width="18"/>
  </cols>
  <sheetData>
    <row r="1" customFormat="false" ht="39.55" hidden="false" customHeight="false" outlineLevel="0" collapsed="false">
      <c r="A1" s="4" t="s">
        <v>31</v>
      </c>
      <c r="B1" s="4" t="s">
        <v>32</v>
      </c>
      <c r="C1" s="4" t="s">
        <v>45</v>
      </c>
      <c r="D1" s="4" t="s">
        <v>46</v>
      </c>
      <c r="E1" s="4" t="s">
        <v>36</v>
      </c>
      <c r="F1" s="4" t="s">
        <v>37</v>
      </c>
      <c r="G1" s="4" t="s">
        <v>38</v>
      </c>
    </row>
    <row r="2" customFormat="false" ht="15" hidden="false" customHeight="false" outlineLevel="0" collapsed="false">
      <c r="A2" s="5" t="s">
        <v>19</v>
      </c>
      <c r="B2" s="5" t="n">
        <v>1</v>
      </c>
      <c r="C2" s="5" t="n">
        <v>266.47</v>
      </c>
      <c r="D2" s="5" t="n">
        <v>33.31</v>
      </c>
      <c r="E2" s="5" t="n">
        <v>23.7</v>
      </c>
      <c r="F2" s="5" t="n">
        <v>23.1</v>
      </c>
      <c r="G2" s="5" t="n">
        <v>57.56</v>
      </c>
    </row>
    <row r="3" customFormat="false" ht="15" hidden="false" customHeight="false" outlineLevel="0" collapsed="false">
      <c r="A3" s="5" t="s">
        <v>19</v>
      </c>
      <c r="B3" s="5" t="n">
        <v>2</v>
      </c>
      <c r="C3" s="5" t="n">
        <v>264.08</v>
      </c>
      <c r="D3" s="5" t="n">
        <v>33.01</v>
      </c>
      <c r="E3" s="5" t="n">
        <v>23.3</v>
      </c>
      <c r="F3" s="5" t="n">
        <v>23.45</v>
      </c>
      <c r="G3" s="5" t="n">
        <v>52.26</v>
      </c>
    </row>
    <row r="4" customFormat="false" ht="15" hidden="false" customHeight="false" outlineLevel="0" collapsed="false">
      <c r="A4" s="5" t="s">
        <v>19</v>
      </c>
      <c r="B4" s="5" t="n">
        <v>3</v>
      </c>
      <c r="C4" s="5" t="n">
        <v>266.04</v>
      </c>
      <c r="D4" s="5" t="n">
        <v>33.26</v>
      </c>
      <c r="E4" s="5" t="n">
        <v>23.3</v>
      </c>
      <c r="F4" s="5" t="n">
        <v>23.25</v>
      </c>
      <c r="G4" s="5" t="n">
        <v>55.58</v>
      </c>
    </row>
    <row r="5" customFormat="false" ht="15" hidden="false" customHeight="false" outlineLevel="0" collapsed="false">
      <c r="A5" s="5" t="s">
        <v>19</v>
      </c>
      <c r="B5" s="5" t="n">
        <v>4</v>
      </c>
      <c r="C5" s="5" t="n">
        <v>263.74</v>
      </c>
      <c r="D5" s="5" t="n">
        <v>32.97</v>
      </c>
      <c r="E5" s="5" t="n">
        <v>22.4</v>
      </c>
      <c r="F5" s="5" t="n">
        <v>22.85</v>
      </c>
      <c r="G5" s="5" t="n">
        <v>51.87</v>
      </c>
    </row>
    <row r="6" customFormat="false" ht="15" hidden="false" customHeight="false" outlineLevel="0" collapsed="false">
      <c r="A6" s="5" t="s">
        <v>19</v>
      </c>
      <c r="B6" s="5" t="n">
        <v>5</v>
      </c>
      <c r="C6" s="5" t="n">
        <v>267.29</v>
      </c>
      <c r="D6" s="5" t="n">
        <v>33.41</v>
      </c>
      <c r="E6" s="5" t="n">
        <v>22.9</v>
      </c>
      <c r="F6" s="5" t="n">
        <v>23.35</v>
      </c>
      <c r="G6" s="5" t="n">
        <v>54.28</v>
      </c>
    </row>
    <row r="7" customFormat="false" ht="15" hidden="false" customHeight="false" outlineLevel="0" collapsed="false">
      <c r="A7" s="5" t="s">
        <v>16</v>
      </c>
      <c r="B7" s="5" t="n">
        <v>1</v>
      </c>
      <c r="C7" s="5" t="n">
        <v>272.34</v>
      </c>
      <c r="D7" s="5" t="n">
        <v>34.04</v>
      </c>
      <c r="E7" s="5" t="n">
        <v>22.3</v>
      </c>
      <c r="F7" s="5" t="n">
        <v>22.6</v>
      </c>
      <c r="G7" s="5" t="n">
        <v>48.34</v>
      </c>
    </row>
    <row r="8" customFormat="false" ht="15" hidden="false" customHeight="false" outlineLevel="0" collapsed="false">
      <c r="A8" s="5" t="s">
        <v>16</v>
      </c>
      <c r="B8" s="5" t="n">
        <v>2</v>
      </c>
      <c r="C8" s="5" t="n">
        <v>272.16</v>
      </c>
      <c r="D8" s="5" t="n">
        <v>34.02</v>
      </c>
      <c r="E8" s="5" t="n">
        <v>22.3</v>
      </c>
      <c r="F8" s="5" t="n">
        <v>22.65</v>
      </c>
      <c r="G8" s="5" t="n">
        <v>46.4</v>
      </c>
    </row>
    <row r="9" customFormat="false" ht="15" hidden="false" customHeight="false" outlineLevel="0" collapsed="false">
      <c r="A9" s="5" t="s">
        <v>16</v>
      </c>
      <c r="B9" s="5" t="n">
        <v>3</v>
      </c>
      <c r="C9" s="5" t="n">
        <v>269.14</v>
      </c>
      <c r="D9" s="5" t="n">
        <v>33.64</v>
      </c>
      <c r="E9" s="5" t="n">
        <v>23.9</v>
      </c>
      <c r="F9" s="5" t="n">
        <v>23.4</v>
      </c>
      <c r="G9" s="5" t="n">
        <v>62.02</v>
      </c>
    </row>
    <row r="10" customFormat="false" ht="15" hidden="false" customHeight="false" outlineLevel="0" collapsed="false">
      <c r="A10" s="5" t="s">
        <v>16</v>
      </c>
      <c r="B10" s="5" t="n">
        <v>4</v>
      </c>
      <c r="C10" s="5" t="n">
        <v>266.64</v>
      </c>
      <c r="D10" s="5" t="n">
        <v>33.33</v>
      </c>
      <c r="E10" s="5" t="n">
        <v>22</v>
      </c>
      <c r="F10" s="5" t="n">
        <v>22.9</v>
      </c>
      <c r="G10" s="5" t="n">
        <v>43.71</v>
      </c>
    </row>
    <row r="11" customFormat="false" ht="15" hidden="false" customHeight="false" outlineLevel="0" collapsed="false">
      <c r="A11" s="5" t="s">
        <v>16</v>
      </c>
      <c r="B11" s="5" t="n">
        <v>5</v>
      </c>
      <c r="C11" s="5" t="n">
        <v>271.53</v>
      </c>
      <c r="D11" s="5" t="n">
        <v>33.94</v>
      </c>
      <c r="E11" s="5" t="n">
        <v>22.3</v>
      </c>
      <c r="F11" s="5" t="n">
        <v>22.6</v>
      </c>
      <c r="G11" s="5" t="n">
        <v>45.42</v>
      </c>
    </row>
    <row r="12" customFormat="false" ht="15" hidden="false" customHeight="false" outlineLevel="0" collapsed="false">
      <c r="A12" s="5" t="s">
        <v>39</v>
      </c>
      <c r="B12" s="5" t="n">
        <v>1</v>
      </c>
      <c r="C12" s="5" t="n">
        <v>266.12</v>
      </c>
      <c r="D12" s="5" t="n">
        <v>33.27</v>
      </c>
      <c r="E12" s="5" t="n">
        <v>22</v>
      </c>
      <c r="F12" s="5" t="n">
        <v>22.1</v>
      </c>
      <c r="G12" s="5" t="n">
        <v>49.01</v>
      </c>
    </row>
    <row r="13" customFormat="false" ht="15" hidden="false" customHeight="false" outlineLevel="0" collapsed="false">
      <c r="A13" s="5" t="s">
        <v>39</v>
      </c>
      <c r="B13" s="5" t="n">
        <v>2</v>
      </c>
      <c r="C13" s="5" t="n">
        <v>267.39</v>
      </c>
      <c r="D13" s="5" t="n">
        <v>33.42</v>
      </c>
      <c r="E13" s="5" t="n">
        <v>22.3</v>
      </c>
      <c r="F13" s="5" t="n">
        <v>22.55</v>
      </c>
      <c r="G13" s="5" t="n">
        <v>43.66</v>
      </c>
    </row>
    <row r="14" customFormat="false" ht="15" hidden="false" customHeight="false" outlineLevel="0" collapsed="false">
      <c r="A14" s="5" t="s">
        <v>39</v>
      </c>
      <c r="B14" s="5" t="n">
        <v>3</v>
      </c>
      <c r="C14" s="5" t="n">
        <v>264.24</v>
      </c>
      <c r="D14" s="5" t="n">
        <v>33.03</v>
      </c>
      <c r="E14" s="5" t="n">
        <v>22</v>
      </c>
      <c r="F14" s="5" t="n">
        <v>22.65</v>
      </c>
      <c r="G14" s="5" t="n">
        <v>41.36</v>
      </c>
    </row>
    <row r="15" customFormat="false" ht="15" hidden="false" customHeight="false" outlineLevel="0" collapsed="false">
      <c r="A15" s="5" t="s">
        <v>39</v>
      </c>
      <c r="B15" s="5" t="n">
        <v>4</v>
      </c>
      <c r="C15" s="5" t="n">
        <v>268.38</v>
      </c>
      <c r="D15" s="5" t="n">
        <v>33.55</v>
      </c>
      <c r="E15" s="5" t="n">
        <v>22.2</v>
      </c>
      <c r="F15" s="5" t="n">
        <v>22.85</v>
      </c>
      <c r="G15" s="5" t="n">
        <v>44.42</v>
      </c>
    </row>
    <row r="16" customFormat="false" ht="15" hidden="false" customHeight="false" outlineLevel="0" collapsed="false">
      <c r="A16" s="5" t="s">
        <v>39</v>
      </c>
      <c r="B16" s="5" t="n">
        <v>5</v>
      </c>
      <c r="C16" s="5" t="n">
        <v>264.57</v>
      </c>
      <c r="D16" s="5" t="n">
        <v>33.07</v>
      </c>
      <c r="E16" s="5" t="n">
        <v>22</v>
      </c>
      <c r="F16" s="5" t="n">
        <v>22.6</v>
      </c>
      <c r="G16" s="5" t="n">
        <v>44.32</v>
      </c>
    </row>
    <row r="17" customFormat="false" ht="15" hidden="false" customHeight="false" outlineLevel="0" collapsed="false">
      <c r="A17" s="5" t="s">
        <v>29</v>
      </c>
      <c r="B17" s="5" t="n">
        <v>1</v>
      </c>
      <c r="C17" s="5" t="n">
        <v>268.14</v>
      </c>
      <c r="D17" s="5" t="n">
        <v>33.52</v>
      </c>
      <c r="E17" s="5" t="n">
        <v>21.2</v>
      </c>
      <c r="F17" s="5" t="n">
        <v>22.05</v>
      </c>
      <c r="G17" s="5" t="n">
        <v>37.21</v>
      </c>
    </row>
    <row r="18" customFormat="false" ht="15" hidden="false" customHeight="false" outlineLevel="0" collapsed="false">
      <c r="A18" s="5" t="s">
        <v>29</v>
      </c>
      <c r="B18" s="5" t="n">
        <v>2</v>
      </c>
      <c r="C18" s="5" t="n">
        <v>266.36</v>
      </c>
      <c r="D18" s="5" t="n">
        <v>33.3</v>
      </c>
      <c r="E18" s="5" t="n">
        <v>22.1</v>
      </c>
      <c r="F18" s="5" t="n">
        <v>22.4</v>
      </c>
      <c r="G18" s="5" t="n">
        <v>49.75</v>
      </c>
    </row>
    <row r="19" customFormat="false" ht="15" hidden="false" customHeight="false" outlineLevel="0" collapsed="false">
      <c r="A19" s="5" t="s">
        <v>29</v>
      </c>
      <c r="B19" s="5" t="n">
        <v>3</v>
      </c>
      <c r="C19" s="5" t="n">
        <v>267.7</v>
      </c>
      <c r="D19" s="5" t="n">
        <v>33.46</v>
      </c>
      <c r="E19" s="5" t="n">
        <v>21.9</v>
      </c>
      <c r="F19" s="5" t="n">
        <v>22.6</v>
      </c>
      <c r="G19" s="5" t="n">
        <v>51.08</v>
      </c>
    </row>
    <row r="20" customFormat="false" ht="15" hidden="false" customHeight="false" outlineLevel="0" collapsed="false">
      <c r="A20" s="5" t="s">
        <v>29</v>
      </c>
      <c r="B20" s="5" t="n">
        <v>4</v>
      </c>
      <c r="C20" s="5" t="n">
        <v>264.8</v>
      </c>
      <c r="D20" s="5" t="n">
        <v>33.1</v>
      </c>
      <c r="E20" s="5" t="n">
        <v>23.1</v>
      </c>
      <c r="F20" s="5" t="n">
        <v>23.1</v>
      </c>
      <c r="G20" s="5" t="n">
        <v>55.66</v>
      </c>
    </row>
    <row r="21" customFormat="false" ht="15" hidden="false" customHeight="false" outlineLevel="0" collapsed="false">
      <c r="A21" s="5" t="s">
        <v>29</v>
      </c>
      <c r="B21" s="5" t="n">
        <v>5</v>
      </c>
      <c r="C21" s="5" t="n">
        <v>267.55</v>
      </c>
      <c r="D21" s="5" t="n">
        <v>33.44</v>
      </c>
      <c r="E21" s="5" t="n">
        <v>22.6</v>
      </c>
      <c r="F21" s="5" t="n">
        <v>23.45</v>
      </c>
      <c r="G21" s="5" t="n">
        <v>43.71</v>
      </c>
    </row>
    <row r="22" customFormat="false" ht="15" hidden="false" customHeight="false" outlineLevel="0" collapsed="false">
      <c r="A22" s="5" t="s">
        <v>21</v>
      </c>
      <c r="B22" s="5" t="n">
        <v>1</v>
      </c>
      <c r="C22" s="5" t="n">
        <v>269.48</v>
      </c>
      <c r="D22" s="5" t="n">
        <v>33.69</v>
      </c>
      <c r="E22" s="5" t="n">
        <v>21.9</v>
      </c>
      <c r="F22" s="5" t="n">
        <v>22.5</v>
      </c>
      <c r="G22" s="5" t="n">
        <v>44.27</v>
      </c>
    </row>
    <row r="23" customFormat="false" ht="15" hidden="false" customHeight="false" outlineLevel="0" collapsed="false">
      <c r="A23" s="5" t="s">
        <v>21</v>
      </c>
      <c r="B23" s="5" t="n">
        <v>2</v>
      </c>
      <c r="C23" s="5" t="n">
        <v>268.32</v>
      </c>
      <c r="D23" s="5" t="n">
        <v>33.54</v>
      </c>
      <c r="E23" s="5" t="n">
        <v>22.4</v>
      </c>
      <c r="F23" s="5" t="n">
        <v>23.4</v>
      </c>
      <c r="G23" s="5" t="n">
        <v>44.95</v>
      </c>
    </row>
    <row r="24" customFormat="false" ht="15" hidden="false" customHeight="false" outlineLevel="0" collapsed="false">
      <c r="A24" s="5" t="s">
        <v>21</v>
      </c>
      <c r="B24" s="5" t="n">
        <v>3</v>
      </c>
      <c r="C24" s="5" t="n">
        <v>268.19</v>
      </c>
      <c r="D24" s="5" t="n">
        <v>33.52</v>
      </c>
      <c r="E24" s="5" t="n">
        <v>22</v>
      </c>
      <c r="F24" s="5" t="n">
        <v>22.8</v>
      </c>
      <c r="G24" s="5" t="n">
        <v>42.31</v>
      </c>
    </row>
    <row r="25" customFormat="false" ht="15" hidden="false" customHeight="false" outlineLevel="0" collapsed="false">
      <c r="A25" s="5" t="s">
        <v>21</v>
      </c>
      <c r="B25" s="5" t="n">
        <v>4</v>
      </c>
      <c r="C25" s="5" t="n">
        <v>267.2</v>
      </c>
      <c r="D25" s="5" t="n">
        <v>33.4</v>
      </c>
      <c r="E25" s="5" t="n">
        <v>21.9</v>
      </c>
      <c r="F25" s="5" t="n">
        <v>22.15</v>
      </c>
      <c r="G25" s="5" t="n">
        <v>44.46</v>
      </c>
    </row>
    <row r="26" customFormat="false" ht="15" hidden="false" customHeight="false" outlineLevel="0" collapsed="false">
      <c r="A26" s="5" t="s">
        <v>21</v>
      </c>
      <c r="B26" s="5" t="n">
        <v>5</v>
      </c>
      <c r="C26" s="5" t="n">
        <v>266.43</v>
      </c>
      <c r="D26" s="5" t="n">
        <v>33.3</v>
      </c>
      <c r="E26" s="5" t="n">
        <v>21.7</v>
      </c>
      <c r="F26" s="5" t="n">
        <v>21.8</v>
      </c>
      <c r="G26" s="5" t="n">
        <v>47.95</v>
      </c>
    </row>
    <row r="27" customFormat="false" ht="15" hidden="false" customHeight="false" outlineLevel="0" collapsed="false">
      <c r="A27" s="5" t="s">
        <v>40</v>
      </c>
      <c r="B27" s="5" t="n">
        <v>1</v>
      </c>
      <c r="C27" s="5" t="n">
        <v>265.27</v>
      </c>
      <c r="D27" s="5" t="n">
        <v>33.16</v>
      </c>
      <c r="E27" s="5" t="n">
        <v>22.4</v>
      </c>
      <c r="F27" s="5" t="n">
        <v>22.2</v>
      </c>
      <c r="G27" s="5" t="n">
        <v>50.11</v>
      </c>
    </row>
    <row r="28" customFormat="false" ht="15" hidden="false" customHeight="false" outlineLevel="0" collapsed="false">
      <c r="A28" s="5" t="s">
        <v>40</v>
      </c>
      <c r="B28" s="5" t="n">
        <v>2</v>
      </c>
      <c r="C28" s="5" t="n">
        <v>263.7</v>
      </c>
      <c r="D28" s="5" t="n">
        <v>32.96</v>
      </c>
      <c r="E28" s="5" t="n">
        <v>21.7</v>
      </c>
      <c r="F28" s="5" t="n">
        <v>22.2</v>
      </c>
      <c r="G28" s="5" t="n">
        <v>42.95</v>
      </c>
    </row>
    <row r="29" customFormat="false" ht="15" hidden="false" customHeight="false" outlineLevel="0" collapsed="false">
      <c r="A29" s="5" t="s">
        <v>40</v>
      </c>
      <c r="B29" s="5" t="n">
        <v>3</v>
      </c>
      <c r="C29" s="5" t="n">
        <v>264.15</v>
      </c>
      <c r="D29" s="5" t="n">
        <v>33.02</v>
      </c>
      <c r="E29" s="5" t="n">
        <v>22.2</v>
      </c>
      <c r="F29" s="5" t="n">
        <v>22.65</v>
      </c>
      <c r="G29" s="5" t="n">
        <v>47.02</v>
      </c>
    </row>
    <row r="30" customFormat="false" ht="15" hidden="false" customHeight="false" outlineLevel="0" collapsed="false">
      <c r="A30" s="5" t="s">
        <v>40</v>
      </c>
      <c r="B30" s="5" t="n">
        <v>4</v>
      </c>
      <c r="C30" s="5" t="n">
        <v>261.6</v>
      </c>
      <c r="D30" s="5" t="n">
        <v>32.7</v>
      </c>
      <c r="E30" s="5" t="n">
        <v>22</v>
      </c>
      <c r="F30" s="5" t="n">
        <v>22.45</v>
      </c>
      <c r="G30" s="5" t="n">
        <v>39.01</v>
      </c>
    </row>
    <row r="31" customFormat="false" ht="15" hidden="false" customHeight="false" outlineLevel="0" collapsed="false">
      <c r="A31" s="5" t="s">
        <v>40</v>
      </c>
      <c r="B31" s="5" t="n">
        <v>5</v>
      </c>
      <c r="C31" s="5" t="n">
        <v>268.39</v>
      </c>
      <c r="D31" s="5" t="n">
        <v>33.55</v>
      </c>
      <c r="E31" s="5" t="n">
        <v>22.5</v>
      </c>
      <c r="F31" s="5" t="n">
        <v>22.8</v>
      </c>
      <c r="G31" s="5" t="n">
        <v>59.61</v>
      </c>
    </row>
    <row r="32" customFormat="false" ht="15" hidden="false" customHeight="false" outlineLevel="0" collapsed="false">
      <c r="A32" s="5" t="s">
        <v>41</v>
      </c>
      <c r="B32" s="5" t="n">
        <v>1</v>
      </c>
      <c r="C32" s="5" t="n">
        <v>264.41</v>
      </c>
      <c r="D32" s="5" t="n">
        <v>33.05</v>
      </c>
      <c r="E32" s="5" t="n">
        <v>22</v>
      </c>
      <c r="F32" s="5" t="n">
        <v>22.5</v>
      </c>
      <c r="G32" s="5" t="n">
        <v>43.56</v>
      </c>
    </row>
    <row r="33" customFormat="false" ht="15" hidden="false" customHeight="false" outlineLevel="0" collapsed="false">
      <c r="A33" s="5" t="s">
        <v>41</v>
      </c>
      <c r="B33" s="5" t="n">
        <v>2</v>
      </c>
      <c r="C33" s="5" t="n">
        <v>268.9</v>
      </c>
      <c r="D33" s="5" t="n">
        <v>33.61</v>
      </c>
      <c r="E33" s="5" t="n">
        <v>21.1</v>
      </c>
      <c r="F33" s="5" t="n">
        <v>21.95</v>
      </c>
      <c r="G33" s="5" t="n">
        <v>38.67</v>
      </c>
    </row>
    <row r="34" customFormat="false" ht="15" hidden="false" customHeight="false" outlineLevel="0" collapsed="false">
      <c r="A34" s="5" t="s">
        <v>41</v>
      </c>
      <c r="B34" s="5" t="n">
        <v>3</v>
      </c>
      <c r="C34" s="5" t="n">
        <v>268.5</v>
      </c>
      <c r="D34" s="5" t="n">
        <v>33.56</v>
      </c>
      <c r="E34" s="5" t="n">
        <v>21.5</v>
      </c>
      <c r="F34" s="5" t="n">
        <v>22.1</v>
      </c>
      <c r="G34" s="5" t="n">
        <v>39.95</v>
      </c>
    </row>
    <row r="35" customFormat="false" ht="15" hidden="false" customHeight="false" outlineLevel="0" collapsed="false">
      <c r="A35" s="5" t="s">
        <v>41</v>
      </c>
      <c r="B35" s="5" t="n">
        <v>4</v>
      </c>
      <c r="C35" s="5" t="n">
        <v>267.76</v>
      </c>
      <c r="D35" s="5" t="n">
        <v>33.47</v>
      </c>
      <c r="E35" s="5" t="n">
        <v>22.2</v>
      </c>
      <c r="F35" s="5" t="n">
        <v>22.4</v>
      </c>
      <c r="G35" s="5" t="n">
        <v>52.32</v>
      </c>
    </row>
    <row r="36" customFormat="false" ht="15" hidden="false" customHeight="false" outlineLevel="0" collapsed="false">
      <c r="A36" s="5" t="s">
        <v>41</v>
      </c>
      <c r="B36" s="5" t="n">
        <v>5</v>
      </c>
      <c r="C36" s="5" t="n">
        <v>265.58</v>
      </c>
      <c r="D36" s="5" t="n">
        <v>33.2</v>
      </c>
      <c r="E36" s="5" t="n">
        <v>23.1</v>
      </c>
      <c r="F36" s="5" t="n">
        <v>22.95</v>
      </c>
      <c r="G36" s="5" t="n">
        <v>50.8</v>
      </c>
    </row>
    <row r="37" customFormat="false" ht="15" hidden="false" customHeight="false" outlineLevel="0" collapsed="false">
      <c r="A37" s="5" t="s">
        <v>24</v>
      </c>
      <c r="B37" s="5" t="n">
        <v>1</v>
      </c>
      <c r="C37" s="5" t="n">
        <v>269</v>
      </c>
      <c r="D37" s="5" t="n">
        <v>33.62</v>
      </c>
      <c r="E37" s="5" t="n">
        <v>21.4</v>
      </c>
      <c r="F37" s="5" t="n">
        <v>22.25</v>
      </c>
      <c r="G37" s="5" t="n">
        <v>40.56</v>
      </c>
    </row>
    <row r="38" customFormat="false" ht="15" hidden="false" customHeight="false" outlineLevel="0" collapsed="false">
      <c r="A38" s="5" t="s">
        <v>24</v>
      </c>
      <c r="B38" s="5" t="n">
        <v>2</v>
      </c>
      <c r="C38" s="5" t="n">
        <v>268.22</v>
      </c>
      <c r="D38" s="5" t="n">
        <v>33.53</v>
      </c>
      <c r="E38" s="5" t="n">
        <v>21.6</v>
      </c>
      <c r="F38" s="5" t="n">
        <v>21.85</v>
      </c>
      <c r="G38" s="5" t="n">
        <v>43.02</v>
      </c>
    </row>
    <row r="39" customFormat="false" ht="15" hidden="false" customHeight="false" outlineLevel="0" collapsed="false">
      <c r="A39" s="5" t="s">
        <v>24</v>
      </c>
      <c r="B39" s="5" t="n">
        <v>3</v>
      </c>
      <c r="C39" s="5" t="n">
        <v>266.7</v>
      </c>
      <c r="D39" s="5" t="n">
        <v>33.34</v>
      </c>
      <c r="E39" s="5" t="n">
        <v>22.2</v>
      </c>
      <c r="F39" s="5" t="n">
        <v>22.95</v>
      </c>
      <c r="G39" s="5" t="n">
        <v>47.36</v>
      </c>
    </row>
    <row r="40" customFormat="false" ht="15" hidden="false" customHeight="false" outlineLevel="0" collapsed="false">
      <c r="A40" s="5" t="s">
        <v>24</v>
      </c>
      <c r="B40" s="5" t="n">
        <v>4</v>
      </c>
      <c r="C40" s="5" t="n">
        <v>266.93</v>
      </c>
      <c r="D40" s="5" t="n">
        <v>33.37</v>
      </c>
      <c r="E40" s="5" t="n">
        <v>21.7</v>
      </c>
      <c r="F40" s="5" t="n">
        <v>22.3</v>
      </c>
      <c r="G40" s="5" t="n">
        <v>45.18</v>
      </c>
    </row>
    <row r="41" customFormat="false" ht="15" hidden="false" customHeight="false" outlineLevel="0" collapsed="false">
      <c r="A41" s="5" t="s">
        <v>24</v>
      </c>
      <c r="B41" s="5" t="n">
        <v>5</v>
      </c>
      <c r="C41" s="5" t="n">
        <v>267.02</v>
      </c>
      <c r="D41" s="5" t="n">
        <v>33.38</v>
      </c>
      <c r="E41" s="5" t="n">
        <v>21.5</v>
      </c>
      <c r="F41" s="5" t="n">
        <v>22.1</v>
      </c>
      <c r="G41" s="5" t="n">
        <v>44.35</v>
      </c>
    </row>
    <row r="42" customFormat="false" ht="15" hidden="false" customHeight="false" outlineLevel="0" collapsed="false">
      <c r="A42" s="5" t="s">
        <v>42</v>
      </c>
      <c r="B42" s="5" t="n">
        <v>1</v>
      </c>
      <c r="C42" s="5" t="n">
        <v>266.74</v>
      </c>
      <c r="D42" s="5" t="n">
        <v>33.34</v>
      </c>
      <c r="E42" s="5" t="n">
        <v>22.4</v>
      </c>
      <c r="F42" s="5" t="n">
        <v>22.5</v>
      </c>
      <c r="G42" s="5" t="n">
        <v>50.43</v>
      </c>
    </row>
    <row r="43" customFormat="false" ht="15" hidden="false" customHeight="false" outlineLevel="0" collapsed="false">
      <c r="A43" s="5" t="s">
        <v>42</v>
      </c>
      <c r="B43" s="5" t="n">
        <v>2</v>
      </c>
      <c r="C43" s="5" t="n">
        <v>264.52</v>
      </c>
      <c r="D43" s="5" t="n">
        <v>33.06</v>
      </c>
      <c r="E43" s="5" t="n">
        <v>22.1</v>
      </c>
      <c r="F43" s="5" t="n">
        <v>22.2</v>
      </c>
      <c r="G43" s="5" t="n">
        <v>46.06</v>
      </c>
    </row>
    <row r="44" customFormat="false" ht="15" hidden="false" customHeight="false" outlineLevel="0" collapsed="false">
      <c r="A44" s="5" t="s">
        <v>42</v>
      </c>
      <c r="B44" s="5" t="n">
        <v>3</v>
      </c>
      <c r="C44" s="5" t="n">
        <v>266.45</v>
      </c>
      <c r="D44" s="5" t="n">
        <v>33.31</v>
      </c>
      <c r="E44" s="5" t="n">
        <v>22.5</v>
      </c>
      <c r="F44" s="5" t="n">
        <v>22.8</v>
      </c>
      <c r="G44" s="5" t="n">
        <v>47.36</v>
      </c>
    </row>
    <row r="45" customFormat="false" ht="15" hidden="false" customHeight="false" outlineLevel="0" collapsed="false">
      <c r="A45" s="5" t="s">
        <v>42</v>
      </c>
      <c r="B45" s="5" t="n">
        <v>4</v>
      </c>
      <c r="C45" s="5" t="n">
        <v>265.44</v>
      </c>
      <c r="D45" s="5" t="n">
        <v>33.18</v>
      </c>
      <c r="E45" s="5" t="n">
        <v>22.2</v>
      </c>
      <c r="F45" s="5" t="n">
        <v>22.9</v>
      </c>
      <c r="G45" s="5" t="n">
        <v>44.31</v>
      </c>
    </row>
    <row r="46" customFormat="false" ht="15" hidden="false" customHeight="false" outlineLevel="0" collapsed="false">
      <c r="A46" s="5" t="s">
        <v>42</v>
      </c>
      <c r="B46" s="5" t="n">
        <v>5</v>
      </c>
      <c r="C46" s="5" t="n">
        <v>266.58</v>
      </c>
      <c r="D46" s="5" t="n">
        <v>33.32</v>
      </c>
      <c r="E46" s="5" t="n">
        <v>22.9</v>
      </c>
      <c r="F46" s="5" t="n">
        <v>23.2</v>
      </c>
      <c r="G46" s="5" t="n">
        <v>53.43</v>
      </c>
    </row>
    <row r="47" customFormat="false" ht="15" hidden="false" customHeight="false" outlineLevel="0" collapsed="false">
      <c r="A47" s="5" t="s">
        <v>43</v>
      </c>
      <c r="B47" s="5" t="n">
        <v>1</v>
      </c>
      <c r="C47" s="5" t="n">
        <v>269.12</v>
      </c>
      <c r="D47" s="5" t="n">
        <v>33.64</v>
      </c>
      <c r="E47" s="5" t="n">
        <v>21.7</v>
      </c>
      <c r="F47" s="5" t="n">
        <v>22.5</v>
      </c>
      <c r="G47" s="5" t="n">
        <v>40.08</v>
      </c>
    </row>
    <row r="48" customFormat="false" ht="15" hidden="false" customHeight="false" outlineLevel="0" collapsed="false">
      <c r="A48" s="5" t="s">
        <v>43</v>
      </c>
      <c r="B48" s="5" t="n">
        <v>2</v>
      </c>
      <c r="C48" s="5" t="n">
        <v>266.94</v>
      </c>
      <c r="D48" s="5" t="n">
        <v>33.37</v>
      </c>
      <c r="E48" s="5" t="n">
        <v>22.1</v>
      </c>
      <c r="F48" s="5" t="n">
        <v>22.45</v>
      </c>
      <c r="G48" s="5" t="n">
        <v>45.16</v>
      </c>
    </row>
    <row r="49" customFormat="false" ht="15" hidden="false" customHeight="false" outlineLevel="0" collapsed="false">
      <c r="A49" s="5" t="s">
        <v>43</v>
      </c>
      <c r="B49" s="5" t="n">
        <v>3</v>
      </c>
      <c r="C49" s="5" t="n">
        <v>270.74</v>
      </c>
      <c r="D49" s="5" t="n">
        <v>33.84</v>
      </c>
      <c r="E49" s="5" t="n">
        <v>76.9</v>
      </c>
      <c r="F49" s="5" t="n">
        <v>30.5</v>
      </c>
      <c r="G49" s="5" t="n">
        <v>242.06</v>
      </c>
    </row>
    <row r="50" customFormat="false" ht="15" hidden="false" customHeight="false" outlineLevel="0" collapsed="false">
      <c r="A50" s="5" t="s">
        <v>43</v>
      </c>
      <c r="B50" s="5" t="n">
        <v>4</v>
      </c>
      <c r="C50" s="5" t="n">
        <v>265.61</v>
      </c>
      <c r="D50" s="5" t="n">
        <v>33.2</v>
      </c>
      <c r="E50" s="5" t="n">
        <v>22.2</v>
      </c>
      <c r="F50" s="5" t="n">
        <v>22.45</v>
      </c>
      <c r="G50" s="5" t="n">
        <v>48.15</v>
      </c>
    </row>
    <row r="51" customFormat="false" ht="15" hidden="false" customHeight="false" outlineLevel="0" collapsed="false">
      <c r="A51" s="5" t="s">
        <v>43</v>
      </c>
      <c r="B51" s="5" t="n">
        <v>5</v>
      </c>
      <c r="C51" s="5" t="n">
        <v>267.41</v>
      </c>
      <c r="D51" s="5" t="n">
        <v>33.43</v>
      </c>
      <c r="E51" s="5" t="n">
        <v>21.6</v>
      </c>
      <c r="F51" s="5" t="n">
        <v>22.4</v>
      </c>
      <c r="G51" s="5" t="n">
        <v>37.75</v>
      </c>
    </row>
    <row r="52" customFormat="false" ht="15" hidden="false" customHeight="false" outlineLevel="0" collapsed="false">
      <c r="A52" s="5" t="s">
        <v>44</v>
      </c>
      <c r="B52" s="5" t="n">
        <v>1</v>
      </c>
      <c r="C52" s="5" t="n">
        <v>263</v>
      </c>
      <c r="D52" s="5" t="n">
        <v>32.88</v>
      </c>
      <c r="E52" s="5" t="n">
        <v>22</v>
      </c>
      <c r="F52" s="5" t="n">
        <v>22.65</v>
      </c>
      <c r="G52" s="5" t="n">
        <v>41.86</v>
      </c>
    </row>
    <row r="53" customFormat="false" ht="15" hidden="false" customHeight="false" outlineLevel="0" collapsed="false">
      <c r="A53" s="5" t="s">
        <v>44</v>
      </c>
      <c r="B53" s="5" t="n">
        <v>2</v>
      </c>
      <c r="C53" s="5" t="n">
        <v>267.92</v>
      </c>
      <c r="D53" s="5" t="n">
        <v>33.49</v>
      </c>
      <c r="E53" s="5" t="n">
        <v>22.6</v>
      </c>
      <c r="F53" s="5" t="n">
        <v>23</v>
      </c>
      <c r="G53" s="5" t="n">
        <v>45.85</v>
      </c>
    </row>
    <row r="54" customFormat="false" ht="15" hidden="false" customHeight="false" outlineLevel="0" collapsed="false">
      <c r="A54" s="5" t="s">
        <v>44</v>
      </c>
      <c r="B54" s="5" t="n">
        <v>3</v>
      </c>
      <c r="C54" s="5" t="n">
        <v>262.59</v>
      </c>
      <c r="D54" s="5" t="n">
        <v>32.82</v>
      </c>
      <c r="E54" s="5" t="n">
        <v>23.5</v>
      </c>
      <c r="F54" s="5" t="n">
        <v>23.4</v>
      </c>
      <c r="G54" s="5" t="n">
        <v>61.1</v>
      </c>
    </row>
    <row r="55" customFormat="false" ht="15" hidden="false" customHeight="false" outlineLevel="0" collapsed="false">
      <c r="A55" s="5" t="s">
        <v>44</v>
      </c>
      <c r="B55" s="5" t="n">
        <v>4</v>
      </c>
      <c r="C55" s="5" t="n">
        <v>265.52</v>
      </c>
      <c r="D55" s="5" t="n">
        <v>33.19</v>
      </c>
      <c r="E55" s="5" t="n">
        <v>22.8</v>
      </c>
      <c r="F55" s="5" t="n">
        <v>23.5</v>
      </c>
      <c r="G55" s="5" t="n">
        <v>54.32</v>
      </c>
    </row>
    <row r="56" customFormat="false" ht="15" hidden="false" customHeight="false" outlineLevel="0" collapsed="false">
      <c r="A56" s="5" t="s">
        <v>44</v>
      </c>
      <c r="B56" s="5" t="n">
        <v>5</v>
      </c>
      <c r="C56" s="5" t="n">
        <v>265.86</v>
      </c>
      <c r="D56" s="5" t="n">
        <v>33.23</v>
      </c>
      <c r="E56" s="5" t="n">
        <v>22.9</v>
      </c>
      <c r="F56" s="5" t="n">
        <v>23.2</v>
      </c>
      <c r="G56" s="5" t="n">
        <v>50.14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5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8" min="1" style="0" width="18"/>
  </cols>
  <sheetData>
    <row r="1" customFormat="false" ht="26.85" hidden="false" customHeight="false" outlineLevel="0" collapsed="false">
      <c r="A1" s="4" t="s">
        <v>31</v>
      </c>
      <c r="B1" s="4" t="s">
        <v>32</v>
      </c>
      <c r="C1" s="4" t="s">
        <v>47</v>
      </c>
      <c r="D1" s="4" t="s">
        <v>48</v>
      </c>
      <c r="E1" s="4" t="s">
        <v>45</v>
      </c>
      <c r="F1" s="4" t="s">
        <v>49</v>
      </c>
      <c r="G1" s="4" t="s">
        <v>50</v>
      </c>
      <c r="H1" s="4" t="s">
        <v>51</v>
      </c>
    </row>
    <row r="2" customFormat="false" ht="15" hidden="false" customHeight="false" outlineLevel="0" collapsed="false">
      <c r="A2" s="5" t="s">
        <v>19</v>
      </c>
      <c r="B2" s="5" t="n">
        <v>1</v>
      </c>
      <c r="C2" s="5" t="n">
        <v>268.89</v>
      </c>
      <c r="D2" s="5" t="n">
        <v>13.74</v>
      </c>
      <c r="E2" s="5" t="n">
        <v>255.15</v>
      </c>
      <c r="F2" s="5" t="n">
        <v>126</v>
      </c>
      <c r="G2" s="5" t="n">
        <v>140</v>
      </c>
      <c r="H2" s="5" t="n">
        <v>268</v>
      </c>
    </row>
    <row r="3" customFormat="false" ht="15" hidden="false" customHeight="false" outlineLevel="0" collapsed="false">
      <c r="A3" s="5" t="s">
        <v>19</v>
      </c>
      <c r="B3" s="5" t="n">
        <v>2</v>
      </c>
      <c r="C3" s="5" t="n">
        <v>281.85</v>
      </c>
      <c r="D3" s="5" t="n">
        <v>38.38</v>
      </c>
      <c r="E3" s="5" t="n">
        <v>243.47</v>
      </c>
      <c r="F3" s="5" t="n">
        <v>99.4</v>
      </c>
      <c r="G3" s="5" t="n">
        <v>103</v>
      </c>
      <c r="H3" s="5" t="n">
        <v>228.57</v>
      </c>
    </row>
    <row r="4" customFormat="false" ht="15" hidden="false" customHeight="false" outlineLevel="0" collapsed="false">
      <c r="A4" s="5" t="s">
        <v>19</v>
      </c>
      <c r="B4" s="5" t="n">
        <v>3</v>
      </c>
      <c r="C4" s="5" t="n">
        <v>263.76</v>
      </c>
      <c r="D4" s="5" t="n">
        <v>23.67</v>
      </c>
      <c r="E4" s="5" t="n">
        <v>240.09</v>
      </c>
      <c r="F4" s="5" t="n">
        <v>101</v>
      </c>
      <c r="G4" s="5" t="n">
        <v>112</v>
      </c>
      <c r="H4" s="5" t="n">
        <v>210.51</v>
      </c>
    </row>
    <row r="5" customFormat="false" ht="15" hidden="false" customHeight="false" outlineLevel="0" collapsed="false">
      <c r="A5" s="5" t="s">
        <v>19</v>
      </c>
      <c r="B5" s="5" t="n">
        <v>4</v>
      </c>
      <c r="C5" s="5" t="n">
        <v>308.12</v>
      </c>
      <c r="D5" s="5" t="n">
        <v>48.35</v>
      </c>
      <c r="E5" s="5" t="n">
        <v>259.77</v>
      </c>
      <c r="F5" s="5" t="n">
        <v>92.9</v>
      </c>
      <c r="G5" s="5" t="n">
        <v>102.5</v>
      </c>
      <c r="H5" s="5" t="n">
        <v>224.42</v>
      </c>
    </row>
    <row r="6" customFormat="false" ht="15" hidden="false" customHeight="false" outlineLevel="0" collapsed="false">
      <c r="A6" s="5" t="s">
        <v>19</v>
      </c>
      <c r="B6" s="5" t="n">
        <v>5</v>
      </c>
      <c r="C6" s="5" t="n">
        <v>259.93</v>
      </c>
      <c r="D6" s="5" t="n">
        <v>26.61</v>
      </c>
      <c r="E6" s="5" t="n">
        <v>233.32</v>
      </c>
      <c r="F6" s="5" t="n">
        <v>93.5</v>
      </c>
      <c r="G6" s="5" t="n">
        <v>106</v>
      </c>
      <c r="H6" s="5" t="n">
        <v>186</v>
      </c>
    </row>
    <row r="7" customFormat="false" ht="15" hidden="false" customHeight="false" outlineLevel="0" collapsed="false">
      <c r="A7" s="5" t="s">
        <v>16</v>
      </c>
      <c r="B7" s="5" t="n">
        <v>1</v>
      </c>
      <c r="C7" s="5" t="n">
        <v>362.27</v>
      </c>
      <c r="D7" s="5" t="n">
        <v>215.63</v>
      </c>
      <c r="E7" s="5" t="n">
        <v>146.64</v>
      </c>
      <c r="F7" s="5" t="n">
        <v>157</v>
      </c>
      <c r="G7" s="5" t="n">
        <v>171</v>
      </c>
      <c r="H7" s="5" t="n">
        <v>310.14</v>
      </c>
    </row>
    <row r="8" customFormat="false" ht="15" hidden="false" customHeight="false" outlineLevel="0" collapsed="false">
      <c r="A8" s="5" t="s">
        <v>16</v>
      </c>
      <c r="B8" s="5" t="n">
        <v>2</v>
      </c>
      <c r="C8" s="5" t="n">
        <v>390.05</v>
      </c>
      <c r="D8" s="5" t="n">
        <v>268.53</v>
      </c>
      <c r="E8" s="5" t="n">
        <v>121.52</v>
      </c>
      <c r="F8" s="5" t="n">
        <v>278</v>
      </c>
      <c r="G8" s="5" t="n">
        <v>301.5</v>
      </c>
      <c r="H8" s="5" t="n">
        <v>517.02</v>
      </c>
    </row>
    <row r="9" customFormat="false" ht="15" hidden="false" customHeight="false" outlineLevel="0" collapsed="false">
      <c r="A9" s="5" t="s">
        <v>16</v>
      </c>
      <c r="B9" s="5" t="n">
        <v>3</v>
      </c>
      <c r="C9" s="5" t="n">
        <v>336.66</v>
      </c>
      <c r="D9" s="5" t="n">
        <v>167.77</v>
      </c>
      <c r="E9" s="5" t="n">
        <v>168.89</v>
      </c>
      <c r="F9" s="5" t="n">
        <v>292</v>
      </c>
      <c r="G9" s="5" t="n">
        <v>316.5</v>
      </c>
      <c r="H9" s="5" t="n">
        <v>516.51</v>
      </c>
    </row>
    <row r="10" customFormat="false" ht="15" hidden="false" customHeight="false" outlineLevel="0" collapsed="false">
      <c r="A10" s="5" t="s">
        <v>16</v>
      </c>
      <c r="B10" s="5" t="n">
        <v>4</v>
      </c>
      <c r="C10" s="5" t="n">
        <v>383.42</v>
      </c>
      <c r="D10" s="5" t="n">
        <v>199.04</v>
      </c>
      <c r="E10" s="5" t="n">
        <v>184.38</v>
      </c>
      <c r="F10" s="5" t="n">
        <v>212</v>
      </c>
      <c r="G10" s="5" t="n">
        <v>254</v>
      </c>
      <c r="H10" s="5" t="n">
        <v>337.53</v>
      </c>
    </row>
    <row r="11" customFormat="false" ht="15" hidden="false" customHeight="false" outlineLevel="0" collapsed="false">
      <c r="A11" s="5" t="s">
        <v>16</v>
      </c>
      <c r="B11" s="5" t="n">
        <v>5</v>
      </c>
      <c r="C11" s="5" t="n">
        <v>382.78</v>
      </c>
      <c r="D11" s="5" t="n">
        <v>241.64</v>
      </c>
      <c r="E11" s="5" t="n">
        <v>141.14</v>
      </c>
      <c r="F11" s="5" t="n">
        <v>264</v>
      </c>
      <c r="G11" s="5" t="n">
        <v>302.5</v>
      </c>
      <c r="H11" s="5" t="n">
        <v>443.02</v>
      </c>
    </row>
    <row r="12" customFormat="false" ht="15" hidden="false" customHeight="false" outlineLevel="0" collapsed="false">
      <c r="A12" s="5" t="s">
        <v>39</v>
      </c>
      <c r="B12" s="5" t="n">
        <v>1</v>
      </c>
      <c r="C12" s="5" t="n">
        <v>282.21</v>
      </c>
      <c r="D12" s="5" t="n">
        <v>43.07</v>
      </c>
      <c r="E12" s="5" t="n">
        <v>239.14</v>
      </c>
      <c r="F12" s="5" t="n">
        <v>99.9</v>
      </c>
      <c r="G12" s="5" t="n">
        <v>116.5</v>
      </c>
      <c r="H12" s="5" t="n">
        <v>192.51</v>
      </c>
    </row>
    <row r="13" customFormat="false" ht="15" hidden="false" customHeight="false" outlineLevel="0" collapsed="false">
      <c r="A13" s="5" t="s">
        <v>39</v>
      </c>
      <c r="B13" s="5" t="n">
        <v>2</v>
      </c>
      <c r="C13" s="5" t="n">
        <v>269.37</v>
      </c>
      <c r="D13" s="5" t="n">
        <v>43.84</v>
      </c>
      <c r="E13" s="5" t="n">
        <v>225.53</v>
      </c>
      <c r="F13" s="5" t="n">
        <v>116</v>
      </c>
      <c r="G13" s="5" t="n">
        <v>138.5</v>
      </c>
      <c r="H13" s="5" t="n">
        <v>202.51</v>
      </c>
    </row>
    <row r="14" customFormat="false" ht="15" hidden="false" customHeight="false" outlineLevel="0" collapsed="false">
      <c r="A14" s="5" t="s">
        <v>39</v>
      </c>
      <c r="B14" s="5" t="n">
        <v>3</v>
      </c>
      <c r="C14" s="5" t="n">
        <v>261.86</v>
      </c>
      <c r="D14" s="5" t="n">
        <v>27.04</v>
      </c>
      <c r="E14" s="5" t="n">
        <v>234.82</v>
      </c>
      <c r="F14" s="5" t="n">
        <v>107</v>
      </c>
      <c r="G14" s="5" t="n">
        <v>123.5</v>
      </c>
      <c r="H14" s="5" t="n">
        <v>200.04</v>
      </c>
    </row>
    <row r="15" customFormat="false" ht="15" hidden="false" customHeight="false" outlineLevel="0" collapsed="false">
      <c r="A15" s="5" t="s">
        <v>39</v>
      </c>
      <c r="B15" s="5" t="n">
        <v>4</v>
      </c>
      <c r="C15" s="5" t="n">
        <v>254.4</v>
      </c>
      <c r="D15" s="5" t="n">
        <v>16.14</v>
      </c>
      <c r="E15" s="5" t="n">
        <v>238.26</v>
      </c>
      <c r="F15" s="5" t="n">
        <v>88.2</v>
      </c>
      <c r="G15" s="5" t="n">
        <v>100.5</v>
      </c>
      <c r="H15" s="5" t="n">
        <v>162.51</v>
      </c>
    </row>
    <row r="16" customFormat="false" ht="15" hidden="false" customHeight="false" outlineLevel="0" collapsed="false">
      <c r="A16" s="5" t="s">
        <v>39</v>
      </c>
      <c r="B16" s="5" t="n">
        <v>5</v>
      </c>
      <c r="C16" s="5" t="n">
        <v>286.89</v>
      </c>
      <c r="D16" s="5" t="n">
        <v>52.2</v>
      </c>
      <c r="E16" s="5" t="n">
        <v>234.69</v>
      </c>
      <c r="F16" s="5" t="n">
        <v>102</v>
      </c>
      <c r="G16" s="5" t="n">
        <v>124</v>
      </c>
      <c r="H16" s="5" t="n">
        <v>196.06</v>
      </c>
    </row>
    <row r="17" customFormat="false" ht="15" hidden="false" customHeight="false" outlineLevel="0" collapsed="false">
      <c r="A17" s="5" t="s">
        <v>29</v>
      </c>
      <c r="B17" s="5" t="n">
        <v>1</v>
      </c>
      <c r="C17" s="5" t="n">
        <v>306.26</v>
      </c>
      <c r="D17" s="5" t="n">
        <v>63.02</v>
      </c>
      <c r="E17" s="5" t="n">
        <v>243.24</v>
      </c>
      <c r="F17" s="5" t="n">
        <v>104</v>
      </c>
      <c r="G17" s="5" t="n">
        <v>119</v>
      </c>
      <c r="H17" s="5" t="n">
        <v>189.53</v>
      </c>
    </row>
    <row r="18" customFormat="false" ht="15" hidden="false" customHeight="false" outlineLevel="0" collapsed="false">
      <c r="A18" s="5" t="s">
        <v>29</v>
      </c>
      <c r="B18" s="5" t="n">
        <v>2</v>
      </c>
      <c r="C18" s="5" t="n">
        <v>299.91</v>
      </c>
      <c r="D18" s="5" t="n">
        <v>64.96</v>
      </c>
      <c r="E18" s="5" t="n">
        <v>234.95</v>
      </c>
      <c r="F18" s="5" t="n">
        <v>110</v>
      </c>
      <c r="G18" s="5" t="n">
        <v>126</v>
      </c>
      <c r="H18" s="5" t="n">
        <v>208.04</v>
      </c>
    </row>
    <row r="19" customFormat="false" ht="15" hidden="false" customHeight="false" outlineLevel="0" collapsed="false">
      <c r="A19" s="5" t="s">
        <v>29</v>
      </c>
      <c r="B19" s="5" t="n">
        <v>3</v>
      </c>
      <c r="C19" s="5" t="n">
        <v>313.97</v>
      </c>
      <c r="D19" s="5" t="n">
        <v>58.84</v>
      </c>
      <c r="E19" s="5" t="n">
        <v>255.13</v>
      </c>
      <c r="F19" s="5" t="n">
        <v>100</v>
      </c>
      <c r="G19" s="5" t="n">
        <v>118</v>
      </c>
      <c r="H19" s="5" t="n">
        <v>178.08</v>
      </c>
    </row>
    <row r="20" customFormat="false" ht="15" hidden="false" customHeight="false" outlineLevel="0" collapsed="false">
      <c r="A20" s="5" t="s">
        <v>29</v>
      </c>
      <c r="B20" s="5" t="n">
        <v>4</v>
      </c>
      <c r="C20" s="5" t="n">
        <v>301.26</v>
      </c>
      <c r="D20" s="5" t="n">
        <v>72.71</v>
      </c>
      <c r="E20" s="5" t="n">
        <v>228.55</v>
      </c>
      <c r="F20" s="5" t="n">
        <v>92.7</v>
      </c>
      <c r="G20" s="5" t="n">
        <v>98.5</v>
      </c>
      <c r="H20" s="5" t="n">
        <v>213.53</v>
      </c>
    </row>
    <row r="21" customFormat="false" ht="15" hidden="false" customHeight="false" outlineLevel="0" collapsed="false">
      <c r="A21" s="5" t="s">
        <v>29</v>
      </c>
      <c r="B21" s="5" t="n">
        <v>5</v>
      </c>
      <c r="C21" s="5" t="n">
        <v>290.7</v>
      </c>
      <c r="D21" s="5" t="n">
        <v>68.28</v>
      </c>
      <c r="E21" s="5" t="n">
        <v>222.42</v>
      </c>
      <c r="F21" s="5" t="n">
        <v>104</v>
      </c>
      <c r="G21" s="5" t="n">
        <v>117.5</v>
      </c>
      <c r="H21" s="5" t="n">
        <v>194.51</v>
      </c>
    </row>
    <row r="22" customFormat="false" ht="15" hidden="false" customHeight="false" outlineLevel="0" collapsed="false">
      <c r="A22" s="5" t="s">
        <v>21</v>
      </c>
      <c r="B22" s="5" t="n">
        <v>1</v>
      </c>
      <c r="C22" s="5" t="n">
        <v>266.47</v>
      </c>
      <c r="D22" s="5" t="n">
        <v>23.51</v>
      </c>
      <c r="E22" s="5" t="n">
        <v>242.96</v>
      </c>
      <c r="F22" s="5" t="n">
        <v>104</v>
      </c>
      <c r="G22" s="5" t="n">
        <v>118</v>
      </c>
      <c r="H22" s="5" t="n">
        <v>198.51</v>
      </c>
    </row>
    <row r="23" customFormat="false" ht="15" hidden="false" customHeight="false" outlineLevel="0" collapsed="false">
      <c r="A23" s="5" t="s">
        <v>21</v>
      </c>
      <c r="B23" s="5" t="n">
        <v>2</v>
      </c>
      <c r="C23" s="5" t="n">
        <v>287.39</v>
      </c>
      <c r="D23" s="5" t="n">
        <v>65.57</v>
      </c>
      <c r="E23" s="5" t="n">
        <v>221.82</v>
      </c>
      <c r="F23" s="5" t="n">
        <v>102</v>
      </c>
      <c r="G23" s="5" t="n">
        <v>116</v>
      </c>
      <c r="H23" s="5" t="n">
        <v>190.55</v>
      </c>
    </row>
    <row r="24" customFormat="false" ht="15" hidden="false" customHeight="false" outlineLevel="0" collapsed="false">
      <c r="A24" s="5" t="s">
        <v>21</v>
      </c>
      <c r="B24" s="5" t="n">
        <v>3</v>
      </c>
      <c r="C24" s="5" t="n">
        <v>283.88</v>
      </c>
      <c r="D24" s="5" t="n">
        <v>61.35</v>
      </c>
      <c r="E24" s="5" t="n">
        <v>222.53</v>
      </c>
      <c r="F24" s="5" t="n">
        <v>97.6</v>
      </c>
      <c r="G24" s="5" t="n">
        <v>108</v>
      </c>
      <c r="H24" s="5" t="n">
        <v>193.51</v>
      </c>
    </row>
    <row r="25" customFormat="false" ht="15" hidden="false" customHeight="false" outlineLevel="0" collapsed="false">
      <c r="A25" s="5" t="s">
        <v>21</v>
      </c>
      <c r="B25" s="5" t="n">
        <v>4</v>
      </c>
      <c r="C25" s="5" t="n">
        <v>286.45</v>
      </c>
      <c r="D25" s="5" t="n">
        <v>65.11</v>
      </c>
      <c r="E25" s="5" t="n">
        <v>221.34</v>
      </c>
      <c r="F25" s="5" t="n">
        <v>105</v>
      </c>
      <c r="G25" s="5" t="n">
        <v>117.5</v>
      </c>
      <c r="H25" s="5" t="n">
        <v>198.51</v>
      </c>
    </row>
    <row r="26" customFormat="false" ht="15" hidden="false" customHeight="false" outlineLevel="0" collapsed="false">
      <c r="A26" s="5" t="s">
        <v>21</v>
      </c>
      <c r="B26" s="5" t="n">
        <v>5</v>
      </c>
      <c r="C26" s="5" t="n">
        <v>326.04</v>
      </c>
      <c r="D26" s="5" t="n">
        <v>67.4</v>
      </c>
      <c r="E26" s="5" t="n">
        <v>258.64</v>
      </c>
      <c r="F26" s="5" t="n">
        <v>92.5</v>
      </c>
      <c r="G26" s="5" t="n">
        <v>102</v>
      </c>
      <c r="H26" s="5" t="n">
        <v>181.51</v>
      </c>
    </row>
    <row r="27" customFormat="false" ht="15" hidden="false" customHeight="false" outlineLevel="0" collapsed="false">
      <c r="A27" s="5" t="s">
        <v>40</v>
      </c>
      <c r="B27" s="5" t="n">
        <v>1</v>
      </c>
      <c r="C27" s="5" t="n">
        <v>265.49</v>
      </c>
      <c r="D27" s="5" t="n">
        <v>20.19</v>
      </c>
      <c r="E27" s="5" t="n">
        <v>245.3</v>
      </c>
      <c r="F27" s="5" t="n">
        <v>97.2</v>
      </c>
      <c r="G27" s="5" t="n">
        <v>116</v>
      </c>
      <c r="H27" s="5" t="n">
        <v>173.55</v>
      </c>
    </row>
    <row r="28" customFormat="false" ht="15" hidden="false" customHeight="false" outlineLevel="0" collapsed="false">
      <c r="A28" s="5" t="s">
        <v>40</v>
      </c>
      <c r="B28" s="5" t="n">
        <v>2</v>
      </c>
      <c r="C28" s="5" t="n">
        <v>272.7</v>
      </c>
      <c r="D28" s="5" t="n">
        <v>55.47</v>
      </c>
      <c r="E28" s="5" t="n">
        <v>217.23</v>
      </c>
      <c r="F28" s="5" t="n">
        <v>97.3</v>
      </c>
      <c r="G28" s="5" t="n">
        <v>105.5</v>
      </c>
      <c r="H28" s="5" t="n">
        <v>170.55</v>
      </c>
    </row>
    <row r="29" customFormat="false" ht="15" hidden="false" customHeight="false" outlineLevel="0" collapsed="false">
      <c r="A29" s="5" t="s">
        <v>40</v>
      </c>
      <c r="B29" s="5" t="n">
        <v>3</v>
      </c>
      <c r="C29" s="5" t="n">
        <v>281.08</v>
      </c>
      <c r="D29" s="5" t="n">
        <v>15.77</v>
      </c>
      <c r="E29" s="5" t="n">
        <v>265.31</v>
      </c>
      <c r="F29" s="5" t="n">
        <v>106</v>
      </c>
      <c r="G29" s="5" t="n">
        <v>120</v>
      </c>
      <c r="H29" s="5" t="n">
        <v>219.57</v>
      </c>
    </row>
    <row r="30" customFormat="false" ht="15" hidden="false" customHeight="false" outlineLevel="0" collapsed="false">
      <c r="A30" s="5" t="s">
        <v>40</v>
      </c>
      <c r="B30" s="5" t="n">
        <v>4</v>
      </c>
      <c r="C30" s="5" t="n">
        <v>268.34</v>
      </c>
      <c r="D30" s="5" t="n">
        <v>33.1</v>
      </c>
      <c r="E30" s="5" t="n">
        <v>235.24</v>
      </c>
      <c r="F30" s="5" t="n">
        <v>103</v>
      </c>
      <c r="G30" s="5" t="n">
        <v>117</v>
      </c>
      <c r="H30" s="5" t="n">
        <v>191.04</v>
      </c>
    </row>
    <row r="31" customFormat="false" ht="15" hidden="false" customHeight="false" outlineLevel="0" collapsed="false">
      <c r="A31" s="5" t="s">
        <v>40</v>
      </c>
      <c r="B31" s="5" t="n">
        <v>5</v>
      </c>
      <c r="C31" s="5" t="n">
        <v>272.92</v>
      </c>
      <c r="D31" s="5" t="n">
        <v>27.18</v>
      </c>
      <c r="E31" s="5" t="n">
        <v>245.74</v>
      </c>
      <c r="F31" s="5" t="n">
        <v>95.4</v>
      </c>
      <c r="G31" s="5" t="n">
        <v>111.5</v>
      </c>
      <c r="H31" s="5" t="n">
        <v>179.51</v>
      </c>
    </row>
    <row r="32" customFormat="false" ht="15" hidden="false" customHeight="false" outlineLevel="0" collapsed="false">
      <c r="A32" s="5" t="s">
        <v>41</v>
      </c>
      <c r="B32" s="5" t="n">
        <v>1</v>
      </c>
      <c r="C32" s="5" t="n">
        <v>273.8</v>
      </c>
      <c r="D32" s="5" t="n">
        <v>51.07</v>
      </c>
      <c r="E32" s="5" t="n">
        <v>222.73</v>
      </c>
      <c r="F32" s="5" t="n">
        <v>100</v>
      </c>
      <c r="G32" s="5" t="n">
        <v>114</v>
      </c>
      <c r="H32" s="5" t="n">
        <v>185.02</v>
      </c>
    </row>
    <row r="33" customFormat="false" ht="15" hidden="false" customHeight="false" outlineLevel="0" collapsed="false">
      <c r="A33" s="5" t="s">
        <v>41</v>
      </c>
      <c r="B33" s="5" t="n">
        <v>2</v>
      </c>
      <c r="C33" s="5" t="n">
        <v>281.11</v>
      </c>
      <c r="D33" s="5" t="n">
        <v>63.86</v>
      </c>
      <c r="E33" s="5" t="n">
        <v>217.25</v>
      </c>
      <c r="F33" s="5" t="n">
        <v>100</v>
      </c>
      <c r="G33" s="5" t="n">
        <v>116.5</v>
      </c>
      <c r="H33" s="5" t="n">
        <v>188.04</v>
      </c>
    </row>
    <row r="34" customFormat="false" ht="15" hidden="false" customHeight="false" outlineLevel="0" collapsed="false">
      <c r="A34" s="5" t="s">
        <v>41</v>
      </c>
      <c r="B34" s="5" t="n">
        <v>3</v>
      </c>
      <c r="C34" s="5" t="n">
        <v>270.2</v>
      </c>
      <c r="D34" s="5" t="n">
        <v>54.16</v>
      </c>
      <c r="E34" s="5" t="n">
        <v>216.04</v>
      </c>
      <c r="F34" s="5" t="n">
        <v>103.68</v>
      </c>
      <c r="G34" s="5" t="n">
        <v>116</v>
      </c>
      <c r="H34" s="5" t="n">
        <v>220.68</v>
      </c>
    </row>
    <row r="35" customFormat="false" ht="15" hidden="false" customHeight="false" outlineLevel="0" collapsed="false">
      <c r="A35" s="5" t="s">
        <v>41</v>
      </c>
      <c r="B35" s="5" t="n">
        <v>4</v>
      </c>
      <c r="C35" s="5" t="n">
        <v>281.63</v>
      </c>
      <c r="D35" s="5" t="n">
        <v>31.74</v>
      </c>
      <c r="E35" s="5" t="n">
        <v>249.89</v>
      </c>
      <c r="F35" s="5" t="n">
        <v>92.1</v>
      </c>
      <c r="G35" s="5" t="n">
        <v>105</v>
      </c>
      <c r="H35" s="5" t="n">
        <v>167</v>
      </c>
    </row>
    <row r="36" customFormat="false" ht="15" hidden="false" customHeight="false" outlineLevel="0" collapsed="false">
      <c r="A36" s="5" t="s">
        <v>41</v>
      </c>
      <c r="B36" s="5" t="n">
        <v>5</v>
      </c>
      <c r="C36" s="5" t="n">
        <v>280.63</v>
      </c>
      <c r="D36" s="5" t="n">
        <v>74.43</v>
      </c>
      <c r="E36" s="5" t="n">
        <v>206.2</v>
      </c>
      <c r="F36" s="5" t="n">
        <v>95.1</v>
      </c>
      <c r="G36" s="5" t="n">
        <v>106</v>
      </c>
      <c r="H36" s="5" t="n">
        <v>177.02</v>
      </c>
    </row>
    <row r="37" customFormat="false" ht="15" hidden="false" customHeight="false" outlineLevel="0" collapsed="false">
      <c r="A37" s="5" t="s">
        <v>24</v>
      </c>
      <c r="B37" s="5" t="n">
        <v>1</v>
      </c>
      <c r="C37" s="5" t="n">
        <v>296.81</v>
      </c>
      <c r="D37" s="5" t="n">
        <v>38.57</v>
      </c>
      <c r="E37" s="5" t="n">
        <v>258.24</v>
      </c>
      <c r="F37" s="5" t="n">
        <v>110</v>
      </c>
      <c r="G37" s="5" t="n">
        <v>119</v>
      </c>
      <c r="H37" s="5" t="n">
        <v>228</v>
      </c>
    </row>
    <row r="38" customFormat="false" ht="15" hidden="false" customHeight="false" outlineLevel="0" collapsed="false">
      <c r="A38" s="5" t="s">
        <v>24</v>
      </c>
      <c r="B38" s="5" t="n">
        <v>2</v>
      </c>
      <c r="C38" s="5" t="n">
        <v>273.51</v>
      </c>
      <c r="D38" s="5" t="n">
        <v>45.38</v>
      </c>
      <c r="E38" s="5" t="n">
        <v>228.13</v>
      </c>
      <c r="F38" s="5" t="n">
        <v>97.5</v>
      </c>
      <c r="G38" s="5" t="n">
        <v>111.5</v>
      </c>
      <c r="H38" s="5" t="n">
        <v>188.53</v>
      </c>
    </row>
    <row r="39" customFormat="false" ht="15" hidden="false" customHeight="false" outlineLevel="0" collapsed="false">
      <c r="A39" s="5" t="s">
        <v>24</v>
      </c>
      <c r="B39" s="5" t="n">
        <v>3</v>
      </c>
      <c r="C39" s="5" t="n">
        <v>273.21</v>
      </c>
      <c r="D39" s="5" t="n">
        <v>52.36</v>
      </c>
      <c r="E39" s="5" t="n">
        <v>220.85</v>
      </c>
      <c r="F39" s="5" t="n">
        <v>93.8</v>
      </c>
      <c r="G39" s="5" t="n">
        <v>110.5</v>
      </c>
      <c r="H39" s="5" t="n">
        <v>169.04</v>
      </c>
    </row>
    <row r="40" customFormat="false" ht="15" hidden="false" customHeight="false" outlineLevel="0" collapsed="false">
      <c r="A40" s="5" t="s">
        <v>24</v>
      </c>
      <c r="B40" s="5" t="n">
        <v>4</v>
      </c>
      <c r="C40" s="5" t="n">
        <v>280.96</v>
      </c>
      <c r="D40" s="5" t="n">
        <v>48.52</v>
      </c>
      <c r="E40" s="5" t="n">
        <v>232.44</v>
      </c>
      <c r="F40" s="5" t="n">
        <v>109</v>
      </c>
      <c r="G40" s="5" t="n">
        <v>124</v>
      </c>
      <c r="H40" s="5" t="n">
        <v>203.02</v>
      </c>
    </row>
    <row r="41" customFormat="false" ht="15" hidden="false" customHeight="false" outlineLevel="0" collapsed="false">
      <c r="A41" s="5" t="s">
        <v>24</v>
      </c>
      <c r="B41" s="5" t="n">
        <v>5</v>
      </c>
      <c r="C41" s="5" t="n">
        <v>267.28</v>
      </c>
      <c r="D41" s="5" t="n">
        <v>56.53</v>
      </c>
      <c r="E41" s="5" t="n">
        <v>210.75</v>
      </c>
      <c r="F41" s="5" t="n">
        <v>95.8</v>
      </c>
      <c r="G41" s="5" t="n">
        <v>110</v>
      </c>
      <c r="H41" s="5" t="n">
        <v>193</v>
      </c>
    </row>
    <row r="42" customFormat="false" ht="15" hidden="false" customHeight="false" outlineLevel="0" collapsed="false">
      <c r="A42" s="5" t="s">
        <v>42</v>
      </c>
      <c r="B42" s="5" t="n">
        <v>1</v>
      </c>
      <c r="C42" s="5" t="n">
        <v>280.78</v>
      </c>
      <c r="D42" s="5" t="n">
        <v>17.64</v>
      </c>
      <c r="E42" s="5" t="n">
        <v>263.14</v>
      </c>
      <c r="F42" s="5" t="n">
        <v>95.5</v>
      </c>
      <c r="G42" s="5" t="n">
        <v>110.5</v>
      </c>
      <c r="H42" s="5" t="n">
        <v>182.53</v>
      </c>
    </row>
    <row r="43" customFormat="false" ht="15" hidden="false" customHeight="false" outlineLevel="0" collapsed="false">
      <c r="A43" s="5" t="s">
        <v>42</v>
      </c>
      <c r="B43" s="5" t="n">
        <v>2</v>
      </c>
      <c r="C43" s="5" t="n">
        <v>270.45</v>
      </c>
      <c r="D43" s="5" t="n">
        <v>35.55</v>
      </c>
      <c r="E43" s="5" t="n">
        <v>234.9</v>
      </c>
      <c r="F43" s="5" t="n">
        <v>104</v>
      </c>
      <c r="G43" s="5" t="n">
        <v>117</v>
      </c>
      <c r="H43" s="5" t="n">
        <v>207.51</v>
      </c>
    </row>
    <row r="44" customFormat="false" ht="15" hidden="false" customHeight="false" outlineLevel="0" collapsed="false">
      <c r="A44" s="5" t="s">
        <v>42</v>
      </c>
      <c r="B44" s="5" t="n">
        <v>3</v>
      </c>
      <c r="C44" s="5" t="n">
        <v>270.92</v>
      </c>
      <c r="D44" s="5" t="n">
        <v>38.4</v>
      </c>
      <c r="E44" s="5" t="n">
        <v>232.52</v>
      </c>
      <c r="F44" s="5" t="n">
        <v>95.5</v>
      </c>
      <c r="G44" s="5" t="n">
        <v>105</v>
      </c>
      <c r="H44" s="5" t="n">
        <v>209</v>
      </c>
    </row>
    <row r="45" customFormat="false" ht="15" hidden="false" customHeight="false" outlineLevel="0" collapsed="false">
      <c r="A45" s="5" t="s">
        <v>42</v>
      </c>
      <c r="B45" s="5" t="n">
        <v>4</v>
      </c>
      <c r="C45" s="5" t="n">
        <v>273.77</v>
      </c>
      <c r="D45" s="5" t="n">
        <v>26.19</v>
      </c>
      <c r="E45" s="5" t="n">
        <v>247.58</v>
      </c>
      <c r="F45" s="5" t="n">
        <v>124</v>
      </c>
      <c r="G45" s="5" t="n">
        <v>147</v>
      </c>
      <c r="H45" s="5" t="n">
        <v>228.02</v>
      </c>
    </row>
    <row r="46" customFormat="false" ht="15" hidden="false" customHeight="false" outlineLevel="0" collapsed="false">
      <c r="A46" s="5" t="s">
        <v>42</v>
      </c>
      <c r="B46" s="5" t="n">
        <v>5</v>
      </c>
      <c r="C46" s="5" t="n">
        <v>283.81</v>
      </c>
      <c r="D46" s="5" t="n">
        <v>45.28</v>
      </c>
      <c r="E46" s="5" t="n">
        <v>238.53</v>
      </c>
      <c r="F46" s="5" t="n">
        <v>90.8</v>
      </c>
      <c r="G46" s="5" t="n">
        <v>98</v>
      </c>
      <c r="H46" s="5" t="n">
        <v>187.02</v>
      </c>
    </row>
    <row r="47" customFormat="false" ht="15" hidden="false" customHeight="false" outlineLevel="0" collapsed="false">
      <c r="A47" s="5" t="s">
        <v>43</v>
      </c>
      <c r="B47" s="5" t="n">
        <v>1</v>
      </c>
      <c r="C47" s="5" t="n">
        <v>274.95</v>
      </c>
      <c r="D47" s="5" t="n">
        <v>56.4</v>
      </c>
      <c r="E47" s="5" t="n">
        <v>218.55</v>
      </c>
      <c r="F47" s="5" t="n">
        <v>111</v>
      </c>
      <c r="G47" s="5" t="n">
        <v>127</v>
      </c>
      <c r="H47" s="5" t="n">
        <v>206</v>
      </c>
    </row>
    <row r="48" customFormat="false" ht="15" hidden="false" customHeight="false" outlineLevel="0" collapsed="false">
      <c r="A48" s="5" t="s">
        <v>43</v>
      </c>
      <c r="B48" s="5" t="n">
        <v>2</v>
      </c>
      <c r="C48" s="5" t="n">
        <v>284.72</v>
      </c>
      <c r="D48" s="5" t="n">
        <v>74.32</v>
      </c>
      <c r="E48" s="5" t="n">
        <v>210.4</v>
      </c>
      <c r="F48" s="5" t="n">
        <v>104</v>
      </c>
      <c r="G48" s="5" t="n">
        <v>110</v>
      </c>
      <c r="H48" s="5" t="n">
        <v>209.53</v>
      </c>
    </row>
    <row r="49" customFormat="false" ht="15" hidden="false" customHeight="false" outlineLevel="0" collapsed="false">
      <c r="A49" s="5" t="s">
        <v>43</v>
      </c>
      <c r="B49" s="5" t="n">
        <v>3</v>
      </c>
      <c r="C49" s="5" t="n">
        <v>304.86</v>
      </c>
      <c r="D49" s="5" t="n">
        <v>91.09</v>
      </c>
      <c r="E49" s="5" t="n">
        <v>213.77</v>
      </c>
      <c r="F49" s="5" t="n">
        <v>95.1</v>
      </c>
      <c r="G49" s="5" t="n">
        <v>107.5</v>
      </c>
      <c r="H49" s="5" t="n">
        <v>182.04</v>
      </c>
    </row>
    <row r="50" customFormat="false" ht="15" hidden="false" customHeight="false" outlineLevel="0" collapsed="false">
      <c r="A50" s="5" t="s">
        <v>43</v>
      </c>
      <c r="B50" s="5" t="n">
        <v>4</v>
      </c>
      <c r="C50" s="5" t="n">
        <v>274.01</v>
      </c>
      <c r="D50" s="5" t="n">
        <v>38.48</v>
      </c>
      <c r="E50" s="5" t="n">
        <v>235.53</v>
      </c>
      <c r="F50" s="5" t="n">
        <v>117</v>
      </c>
      <c r="G50" s="5" t="n">
        <v>132</v>
      </c>
      <c r="H50" s="5" t="n">
        <v>227.04</v>
      </c>
    </row>
    <row r="51" customFormat="false" ht="15" hidden="false" customHeight="false" outlineLevel="0" collapsed="false">
      <c r="A51" s="5" t="s">
        <v>43</v>
      </c>
      <c r="B51" s="5" t="n">
        <v>5</v>
      </c>
      <c r="C51" s="5" t="n">
        <v>279.08</v>
      </c>
      <c r="D51" s="5" t="n">
        <v>51.04</v>
      </c>
      <c r="E51" s="5" t="n">
        <v>228.04</v>
      </c>
      <c r="F51" s="5" t="n">
        <v>91.9</v>
      </c>
      <c r="G51" s="5" t="n">
        <v>107.5</v>
      </c>
      <c r="H51" s="5" t="n">
        <v>173</v>
      </c>
    </row>
    <row r="52" customFormat="false" ht="15" hidden="false" customHeight="false" outlineLevel="0" collapsed="false">
      <c r="A52" s="5" t="s">
        <v>44</v>
      </c>
      <c r="B52" s="5" t="n">
        <v>1</v>
      </c>
      <c r="C52" s="5" t="n">
        <v>311.81</v>
      </c>
      <c r="D52" s="5" t="n">
        <v>79.91</v>
      </c>
      <c r="E52" s="5" t="n">
        <v>231.9</v>
      </c>
      <c r="F52" s="5" t="n">
        <v>79.3</v>
      </c>
      <c r="G52" s="5" t="n">
        <v>75.25</v>
      </c>
      <c r="H52" s="5" t="n">
        <v>189.53</v>
      </c>
    </row>
    <row r="53" customFormat="false" ht="15" hidden="false" customHeight="false" outlineLevel="0" collapsed="false">
      <c r="A53" s="5" t="s">
        <v>44</v>
      </c>
      <c r="B53" s="5" t="n">
        <v>2</v>
      </c>
      <c r="C53" s="5" t="n">
        <v>309.88</v>
      </c>
      <c r="D53" s="5" t="n">
        <v>57.14</v>
      </c>
      <c r="E53" s="5" t="n">
        <v>252.74</v>
      </c>
      <c r="F53" s="5" t="n">
        <v>92.5</v>
      </c>
      <c r="G53" s="5" t="n">
        <v>105.5</v>
      </c>
      <c r="H53" s="5" t="n">
        <v>180.02</v>
      </c>
    </row>
    <row r="54" customFormat="false" ht="15" hidden="false" customHeight="false" outlineLevel="0" collapsed="false">
      <c r="A54" s="5" t="s">
        <v>44</v>
      </c>
      <c r="B54" s="5" t="n">
        <v>3</v>
      </c>
      <c r="C54" s="5" t="n">
        <v>289.53</v>
      </c>
      <c r="D54" s="5" t="n">
        <v>45.46</v>
      </c>
      <c r="E54" s="5" t="n">
        <v>244.07</v>
      </c>
      <c r="F54" s="5" t="n">
        <v>108</v>
      </c>
      <c r="G54" s="5" t="n">
        <v>123</v>
      </c>
      <c r="H54" s="5" t="n">
        <v>222.02</v>
      </c>
    </row>
    <row r="55" customFormat="false" ht="15" hidden="false" customHeight="false" outlineLevel="0" collapsed="false">
      <c r="A55" s="5" t="s">
        <v>44</v>
      </c>
      <c r="B55" s="5" t="n">
        <v>4</v>
      </c>
      <c r="C55" s="5" t="n">
        <v>291.48</v>
      </c>
      <c r="D55" s="5" t="n">
        <v>46.6</v>
      </c>
      <c r="E55" s="5" t="n">
        <v>244.88</v>
      </c>
      <c r="F55" s="5" t="n">
        <v>94.2</v>
      </c>
      <c r="G55" s="5" t="n">
        <v>106.5</v>
      </c>
      <c r="H55" s="5" t="n">
        <v>177</v>
      </c>
    </row>
    <row r="56" customFormat="false" ht="15" hidden="false" customHeight="false" outlineLevel="0" collapsed="false">
      <c r="A56" s="5" t="s">
        <v>44</v>
      </c>
      <c r="B56" s="5" t="n">
        <v>5</v>
      </c>
      <c r="C56" s="5" t="n">
        <v>269.67</v>
      </c>
      <c r="D56" s="5" t="n">
        <v>58.4</v>
      </c>
      <c r="E56" s="5" t="n">
        <v>211.27</v>
      </c>
      <c r="F56" s="5" t="n">
        <v>90</v>
      </c>
      <c r="G56" s="5" t="n">
        <v>97.5</v>
      </c>
      <c r="H56" s="5" t="n">
        <v>184.04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2026-08-16T14:41:54Z</dcterms:created>
  <dc:creator>openpyxl</dc:creator>
  <dc:description/>
  <dc:language>en-US</dc:language>
  <cp:lastModifiedBy/>
  <dcterms:modified xsi:type="dcterms:W3CDTF">2026-08-16T14:41:54Z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