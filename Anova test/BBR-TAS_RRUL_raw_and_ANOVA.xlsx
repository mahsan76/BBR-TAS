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hsan\Downloads\"/>
    </mc:Choice>
  </mc:AlternateContent>
  <xr:revisionPtr revIDLastSave="0" documentId="13_ncr:1_{BD96A764-289C-4B95-AFFD-9550B7354CA1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README_Notes" sheetId="1" r:id="rId1"/>
    <sheet name="Anova-Upload-Paper10" sheetId="6" r:id="rId2"/>
    <sheet name="Upload_RawData" sheetId="2" r:id="rId3"/>
    <sheet name="Upload_ANOVA" sheetId="3" r:id="rId4"/>
    <sheet name="Anova-dwl-ppr10" sheetId="7" r:id="rId5"/>
    <sheet name="Download_RawData" sheetId="4" r:id="rId6"/>
    <sheet name="Download_ANOVA" sheetId="5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5" l="1"/>
  <c r="D7" i="5"/>
  <c r="C7" i="5"/>
  <c r="B7" i="5"/>
  <c r="E6" i="5"/>
  <c r="D6" i="5"/>
  <c r="C6" i="5"/>
  <c r="B6" i="5"/>
  <c r="E5" i="5"/>
  <c r="D5" i="5"/>
  <c r="C5" i="5"/>
  <c r="B5" i="5"/>
  <c r="E7" i="3"/>
  <c r="D7" i="3"/>
  <c r="C7" i="3"/>
  <c r="B7" i="3"/>
  <c r="E6" i="3"/>
  <c r="D6" i="3"/>
  <c r="C6" i="3"/>
  <c r="B6" i="3"/>
  <c r="E5" i="3"/>
  <c r="D5" i="3"/>
  <c r="C5" i="3"/>
  <c r="B5" i="3"/>
  <c r="C13" i="5" l="1"/>
  <c r="B12" i="5"/>
  <c r="D12" i="5" s="1"/>
  <c r="C12" i="5"/>
  <c r="G11" i="5" s="1"/>
  <c r="B11" i="5"/>
  <c r="C13" i="3"/>
  <c r="C12" i="3"/>
  <c r="G11" i="3" s="1"/>
  <c r="B12" i="3"/>
  <c r="D12" i="3" s="1"/>
  <c r="B11" i="3"/>
  <c r="D11" i="5" l="1"/>
  <c r="E11" i="5" s="1"/>
  <c r="F11" i="5" s="1"/>
  <c r="B13" i="5"/>
  <c r="D11" i="3"/>
  <c r="E11" i="3" s="1"/>
  <c r="F11" i="3" s="1"/>
  <c r="B13" i="3"/>
</calcChain>
</file>

<file path=xl/sharedStrings.xml><?xml version="1.0" encoding="utf-8"?>
<sst xmlns="http://schemas.openxmlformats.org/spreadsheetml/2006/main" count="125" uniqueCount="56">
  <si>
    <t>Source &amp; method</t>
  </si>
  <si>
    <t>Built directly from the 3 uploaded .flent files:</t>
  </si>
  <si>
    <t xml:space="preserve">  cubic_rrul_run1_flent.gz  -&gt; TITLE metadata: 'cubic rrul run 1'</t>
  </si>
  <si>
    <t xml:space="preserve">  bbrv3_rrul_run2_flent.gz  -&gt; TITLE metadata: 'bbrv3 rrul run 2'</t>
  </si>
  <si>
    <t xml:space="preserve">  tas_rrul_run2_flent.gz    -&gt; TITLE metadata: 'tas_s8_st8 rrul run 2'</t>
  </si>
  <si>
    <t>Each 'total' value = sum of the 4 RRUL stream classes (BE+BK+CS5+EF) at each 0.2s</t>
  </si>
  <si>
    <t>timestep, restricted to the 300 samples where all 4 streams were simultaneously</t>
  </si>
  <si>
    <t>active (the flow-ramp period at the start of the run is excluded, matching the</t>
  </si>
  <si>
    <t>original manuscript table's Count=300).</t>
  </si>
  <si>
    <t>Cross-checked two independent ways (summing the 4 raw stream series, and</t>
  </si>
  <si>
    <t>multiplying Flent's own 'TCP upload/download avg' series by 4) -- both match</t>
  </si>
  <si>
    <t>exactly, so the extraction itself is not in question.</t>
  </si>
  <si>
    <t>IMPORTANT DISCREPANCY -- please check before using this in the manuscript:</t>
  </si>
  <si>
    <t>Comparing these genuine, recomputed numbers to your current manuscript Table 3</t>
  </si>
  <si>
    <t>(RRUL upload) and Table 4 (RRUL download):</t>
  </si>
  <si>
    <t xml:space="preserve">  BBR-TAS matches your manuscript table almost exactly, both upload and download.</t>
  </si>
  <si>
    <t xml:space="preserve">  Cubic and BBR-v3 do NOT match your manuscript table, in either upload or download</t>
  </si>
  <si>
    <t xml:space="preserve">  -- not just by rounding, but by tens of Mbps in some cases (BBR-v3 download:</t>
  </si>
  <si>
    <t xml:space="preserve">  manuscript says 40.35 Mbps, these files give 59.26 Mbps).</t>
  </si>
  <si>
    <t>This means the Cubic and BBR-v3 rows currently in your manuscript's ANOVA tables</t>
  </si>
  <si>
    <t>were very likely NOT built from these specific run1/run2 files -- either a</t>
  </si>
  <si>
    <t>different repeat-run was used for those two algorithms' headline row, or the</t>
  </si>
  <si>
    <t>table needs to be rebuilt from whichever run(s) you intend to report.</t>
  </si>
  <si>
    <t>Recommendation: before pasting these sheets into the paper, confirm which run</t>
  </si>
  <si>
    <t>(or run-average, if you intend to report a multi-run mean rather than a single</t>
  </si>
  <si>
    <t>run) is the one that should represent Cubic and BBR-v3 in Tables 3 and 4, and</t>
  </si>
  <si>
    <t>regenerate from that source. The Upload_ANOVA and Download_ANOVA sheets use live</t>
  </si>
  <si>
    <t>Excel formulas (not pasted numbers) referencing the raw-data sheets, so if you</t>
  </si>
  <si>
    <t>swap in different/additional raw columns the ANOVA recalculates automatically.</t>
  </si>
  <si>
    <t>Raw per-sample total upload throughput (Mbit/s), reconstructed from the 3 uploaded .flent files</t>
  </si>
  <si>
    <t>Each value = sum of the 4 RRUL stream classes (BE+BK+CS5+EF) at that 0.2s sample instant, over the flow-active portion of the 60s run (300 samples).</t>
  </si>
  <si>
    <t>Sample #</t>
  </si>
  <si>
    <t>Cubic</t>
  </si>
  <si>
    <t>BBR-v3</t>
  </si>
  <si>
    <t>BBR-TAS</t>
  </si>
  <si>
    <t>ANOVA: Single Factor — Upload ANOVA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</si>
  <si>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</si>
  <si>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</si>
  <si>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</si>
  <si>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</si>
  <si>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</si>
  <si>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</si>
  <si>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</si>
  <si>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</si>
  <si>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</si>
  <si>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</si>
  <si>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</si>
  <si>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</si>
  <si>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</si>
  <si>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</si>
  <si>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</si>
  <si>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</si>
  <si>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</si>
  <si>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Raw per-sample total download throughput (Mbit/s), reconstructed from the 3 uploaded .flent files</t>
  </si>
  <si>
    <t>ANOVA: Single Factor — Download ANOVA</t>
  </si>
  <si>
    <t>Anova: Single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</si>
</sst>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1"/>
    </font>
    <font>
      <b/>
      <sz val="13"/>
      <name val="Cambria"/>
      <charset val="1"/>
    </font>
    <font>
      <b/>
      <sz val="11"/>
      <color rgb="FF9C5700"/>
      <name val="Cambria"/>
      <charset val="1"/>
    </font>
    <font>
      <b/>
      <sz val="11"/>
      <name val="Cambria"/>
      <charset val="1"/>
    </font>
    <font>
      <i/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2" fontId="0" fillId="0" borderId="0" xfId="0" applyNumberFormat="1"/>
    <xf numFmtId="164" fontId="0" fillId="0" borderId="0" xfId="0" applyNumberFormat="1"/>
    <xf numFmtId="11" fontId="0" fillId="0" borderId="0" xfId="0" applyNumberFormat="1"/>
    <xf numFmtId="0" fontId="0" fillId="0" borderId="3" xfId="0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zoomScaleNormal="100" workbookViewId="0"/>
  </sheetViews>
  <sheetFormatPr defaultColWidth="8.7109375" defaultRowHeight="15" x14ac:dyDescent="0.25"/>
  <cols>
    <col min="1" max="1" width="100" customWidth="1"/>
  </cols>
  <sheetData>
    <row r="1" spans="1:1" ht="16.5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5" spans="1:1" x14ac:dyDescent="0.25">
      <c r="A15" s="2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5" spans="1:1" x14ac:dyDescent="0.25">
      <c r="A25" t="s">
        <v>19</v>
      </c>
    </row>
    <row r="26" spans="1:1" x14ac:dyDescent="0.25">
      <c r="A26" t="s">
        <v>20</v>
      </c>
    </row>
    <row r="27" spans="1:1" x14ac:dyDescent="0.25">
      <c r="A27" t="s">
        <v>21</v>
      </c>
    </row>
    <row r="28" spans="1:1" x14ac:dyDescent="0.25">
      <c r="A28" t="s">
        <v>22</v>
      </c>
    </row>
    <row r="30" spans="1:1" x14ac:dyDescent="0.25">
      <c r="A30" t="s">
        <v>23</v>
      </c>
    </row>
    <row r="31" spans="1:1" x14ac:dyDescent="0.25">
      <c r="A31" t="s">
        <v>24</v>
      </c>
    </row>
    <row r="32" spans="1:1" x14ac:dyDescent="0.25">
      <c r="A32" t="s">
        <v>25</v>
      </c>
    </row>
    <row r="33" spans="1:1" x14ac:dyDescent="0.25">
      <c r="A33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8DCE-9049-4C9A-BFC7-E8BAC586C782}">
  <dimension ref="A1:G14"/>
  <sheetViews>
    <sheetView workbookViewId="0">
      <selection sqref="A1:G14"/>
    </sheetView>
  </sheetViews>
  <sheetFormatPr defaultRowHeight="15" x14ac:dyDescent="0.25"/>
  <cols>
    <col min="1" max="1" width="19.140625" bestFit="1" customWidth="1"/>
    <col min="4" max="4" width="9.5703125" bestFit="1" customWidth="1"/>
  </cols>
  <sheetData>
    <row r="1" spans="1:7" x14ac:dyDescent="0.25">
      <c r="A1" s="11" t="s">
        <v>55</v>
      </c>
      <c r="B1" s="12"/>
      <c r="C1" s="12"/>
      <c r="D1" s="12"/>
      <c r="E1" s="12"/>
      <c r="F1" s="12"/>
      <c r="G1" s="13"/>
    </row>
    <row r="2" spans="1:7" ht="15.75" thickBot="1" x14ac:dyDescent="0.3">
      <c r="A2" s="14"/>
      <c r="B2" s="15"/>
      <c r="C2" s="15"/>
      <c r="D2" s="15"/>
      <c r="E2" s="15"/>
      <c r="F2" s="15"/>
      <c r="G2" s="16"/>
    </row>
    <row r="3" spans="1:7" ht="15.75" thickBot="1" x14ac:dyDescent="0.3">
      <c r="A3" s="17" t="s">
        <v>36</v>
      </c>
      <c r="B3" s="18"/>
      <c r="C3" s="18"/>
      <c r="D3" s="18"/>
      <c r="E3" s="18"/>
      <c r="F3" s="18"/>
      <c r="G3" s="19"/>
    </row>
    <row r="4" spans="1:7" ht="15.75" thickBot="1" x14ac:dyDescent="0.3">
      <c r="A4" s="9" t="s">
        <v>37</v>
      </c>
      <c r="B4" s="9" t="s">
        <v>38</v>
      </c>
      <c r="C4" s="9" t="s">
        <v>39</v>
      </c>
      <c r="D4" s="9" t="s">
        <v>40</v>
      </c>
      <c r="E4" s="9" t="s">
        <v>41</v>
      </c>
      <c r="F4" s="11"/>
      <c r="G4" s="13"/>
    </row>
    <row r="5" spans="1:7" ht="15.75" thickBot="1" x14ac:dyDescent="0.3">
      <c r="A5" s="10" t="s">
        <v>32</v>
      </c>
      <c r="B5" s="10">
        <v>300</v>
      </c>
      <c r="C5" s="10">
        <v>51762.466889999996</v>
      </c>
      <c r="D5" s="22">
        <v>172.5415563</v>
      </c>
      <c r="E5" s="22">
        <v>696.97286840451</v>
      </c>
      <c r="F5" s="20"/>
      <c r="G5" s="21"/>
    </row>
    <row r="6" spans="1:7" ht="15.75" thickBot="1" x14ac:dyDescent="0.3">
      <c r="A6" s="10" t="s">
        <v>33</v>
      </c>
      <c r="B6" s="10">
        <v>300</v>
      </c>
      <c r="C6" s="10">
        <v>64920.926390000008</v>
      </c>
      <c r="D6" s="22">
        <v>216.4030879666667</v>
      </c>
      <c r="E6" s="22">
        <v>1368.302380347207</v>
      </c>
      <c r="F6" s="20"/>
      <c r="G6" s="21"/>
    </row>
    <row r="7" spans="1:7" ht="15.75" thickBot="1" x14ac:dyDescent="0.3">
      <c r="A7" s="10" t="s">
        <v>34</v>
      </c>
      <c r="B7" s="10">
        <v>300</v>
      </c>
      <c r="C7" s="10">
        <v>70741.622879999995</v>
      </c>
      <c r="D7" s="22">
        <v>235.80540959999999</v>
      </c>
      <c r="E7" s="22">
        <v>1739.5467486334871</v>
      </c>
      <c r="F7" s="20"/>
      <c r="G7" s="21"/>
    </row>
    <row r="8" spans="1:7" ht="15.75" thickBot="1" x14ac:dyDescent="0.3">
      <c r="A8" s="8"/>
      <c r="B8" s="8"/>
      <c r="C8" s="8"/>
      <c r="D8" s="8"/>
      <c r="E8" s="8"/>
      <c r="F8" s="14"/>
      <c r="G8" s="16"/>
    </row>
    <row r="9" spans="1:7" x14ac:dyDescent="0.25">
      <c r="A9" s="11" t="s">
        <v>42</v>
      </c>
      <c r="B9" s="12"/>
      <c r="C9" s="12"/>
      <c r="D9" s="12"/>
      <c r="E9" s="12"/>
      <c r="F9" s="12"/>
      <c r="G9" s="13"/>
    </row>
    <row r="10" spans="1:7" ht="15.75" thickBot="1" x14ac:dyDescent="0.3">
      <c r="A10" s="14"/>
      <c r="B10" s="15"/>
      <c r="C10" s="15"/>
      <c r="D10" s="15"/>
      <c r="E10" s="15"/>
      <c r="F10" s="15"/>
      <c r="G10" s="16"/>
    </row>
    <row r="11" spans="1:7" ht="15.75" thickBot="1" x14ac:dyDescent="0.3">
      <c r="A11" s="9" t="s">
        <v>43</v>
      </c>
      <c r="B11" s="9" t="s">
        <v>44</v>
      </c>
      <c r="C11" s="9" t="s">
        <v>45</v>
      </c>
      <c r="D11" s="9" t="s">
        <v>46</v>
      </c>
      <c r="E11" s="9" t="s">
        <v>47</v>
      </c>
      <c r="F11" s="9" t="s">
        <v>48</v>
      </c>
      <c r="G11" s="9" t="s">
        <v>49</v>
      </c>
    </row>
    <row r="12" spans="1:7" ht="15.75" thickBot="1" x14ac:dyDescent="0.3">
      <c r="A12" s="10" t="s">
        <v>50</v>
      </c>
      <c r="B12" s="10">
        <v>630259.91792732291</v>
      </c>
      <c r="C12" s="10">
        <v>2</v>
      </c>
      <c r="D12" s="22">
        <v>315129.95896366145</v>
      </c>
      <c r="E12" s="22">
        <v>248.47151260707616</v>
      </c>
      <c r="F12" s="10">
        <v>1.3599339584356182E-86</v>
      </c>
      <c r="G12" s="22">
        <v>3.0057595050333341</v>
      </c>
    </row>
    <row r="13" spans="1:7" ht="15.75" thickBot="1" x14ac:dyDescent="0.3">
      <c r="A13" s="10" t="s">
        <v>51</v>
      </c>
      <c r="B13" s="10">
        <v>1137641.777218183</v>
      </c>
      <c r="C13" s="10">
        <v>897</v>
      </c>
      <c r="D13" s="22">
        <v>1268.2739991284093</v>
      </c>
      <c r="E13" s="22"/>
      <c r="F13" s="10"/>
      <c r="G13" s="22"/>
    </row>
    <row r="14" spans="1:7" ht="15.75" thickBot="1" x14ac:dyDescent="0.3">
      <c r="A14" s="10" t="s">
        <v>52</v>
      </c>
      <c r="B14" s="10">
        <v>1767901.6951455059</v>
      </c>
      <c r="C14" s="10">
        <v>899</v>
      </c>
      <c r="D14" s="10"/>
      <c r="E14" s="10"/>
      <c r="F14" s="10"/>
      <c r="G14" s="10"/>
    </row>
  </sheetData>
  <mergeCells count="4">
    <mergeCell ref="A1:G2"/>
    <mergeCell ref="A3:G3"/>
    <mergeCell ref="A9:G10"/>
    <mergeCell ref="F4:G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4"/>
  <sheetViews>
    <sheetView topLeftCell="A286" zoomScaleNormal="100" workbookViewId="0"/>
  </sheetViews>
  <sheetFormatPr defaultColWidth="8.7109375" defaultRowHeight="15" x14ac:dyDescent="0.25"/>
  <cols>
    <col min="1" max="4" width="14" customWidth="1"/>
  </cols>
  <sheetData>
    <row r="1" spans="1:4" x14ac:dyDescent="0.25">
      <c r="A1" s="3" t="s">
        <v>29</v>
      </c>
    </row>
    <row r="2" spans="1:4" x14ac:dyDescent="0.25">
      <c r="A2" t="s">
        <v>30</v>
      </c>
    </row>
    <row r="4" spans="1:4" x14ac:dyDescent="0.25">
      <c r="A4" s="3" t="s">
        <v>31</v>
      </c>
      <c r="B4" s="4" t="s">
        <v>32</v>
      </c>
      <c r="C4" s="4" t="s">
        <v>33</v>
      </c>
      <c r="D4" s="4" t="s">
        <v>34</v>
      </c>
    </row>
    <row r="5" spans="1:4" x14ac:dyDescent="0.25">
      <c r="A5">
        <v>1</v>
      </c>
      <c r="B5">
        <v>280.07217000000003</v>
      </c>
      <c r="C5">
        <v>364.33103999999997</v>
      </c>
      <c r="D5">
        <v>372.44932</v>
      </c>
    </row>
    <row r="6" spans="1:4" x14ac:dyDescent="0.25">
      <c r="A6">
        <v>2</v>
      </c>
      <c r="B6">
        <v>201.32304999999999</v>
      </c>
      <c r="C6">
        <v>252.16421</v>
      </c>
      <c r="D6">
        <v>191.37716</v>
      </c>
    </row>
    <row r="7" spans="1:4" x14ac:dyDescent="0.25">
      <c r="A7">
        <v>3</v>
      </c>
      <c r="B7">
        <v>250.88355999999999</v>
      </c>
      <c r="C7">
        <v>277.10271999999998</v>
      </c>
      <c r="D7">
        <v>178.92953</v>
      </c>
    </row>
    <row r="8" spans="1:4" x14ac:dyDescent="0.25">
      <c r="A8">
        <v>4</v>
      </c>
      <c r="B8">
        <v>208.20885000000001</v>
      </c>
      <c r="C8">
        <v>254.50817000000001</v>
      </c>
      <c r="D8">
        <v>193.16974999999999</v>
      </c>
    </row>
    <row r="9" spans="1:4" x14ac:dyDescent="0.25">
      <c r="A9">
        <v>5</v>
      </c>
      <c r="B9">
        <v>209.17348000000001</v>
      </c>
      <c r="C9">
        <v>229.59935999999999</v>
      </c>
      <c r="D9">
        <v>225.42867000000001</v>
      </c>
    </row>
    <row r="10" spans="1:4" x14ac:dyDescent="0.25">
      <c r="A10">
        <v>6</v>
      </c>
      <c r="B10">
        <v>193.51066</v>
      </c>
      <c r="C10">
        <v>229.23615000000001</v>
      </c>
      <c r="D10">
        <v>249.93155999999999</v>
      </c>
    </row>
    <row r="11" spans="1:4" x14ac:dyDescent="0.25">
      <c r="A11">
        <v>7</v>
      </c>
      <c r="B11">
        <v>190.36760000000001</v>
      </c>
      <c r="C11">
        <v>211.74250000000001</v>
      </c>
      <c r="D11">
        <v>252.16404</v>
      </c>
    </row>
    <row r="12" spans="1:4" x14ac:dyDescent="0.25">
      <c r="A12">
        <v>8</v>
      </c>
      <c r="B12">
        <v>190.78424000000001</v>
      </c>
      <c r="C12">
        <v>220.69689</v>
      </c>
      <c r="D12">
        <v>247.67111</v>
      </c>
    </row>
    <row r="13" spans="1:4" x14ac:dyDescent="0.25">
      <c r="A13">
        <v>9</v>
      </c>
      <c r="B13">
        <v>194.87107</v>
      </c>
      <c r="C13">
        <v>245.38113999999999</v>
      </c>
      <c r="D13">
        <v>262.11565999999999</v>
      </c>
    </row>
    <row r="14" spans="1:4" x14ac:dyDescent="0.25">
      <c r="A14">
        <v>10</v>
      </c>
      <c r="B14">
        <v>194.59442000000001</v>
      </c>
      <c r="C14">
        <v>217.92626999999999</v>
      </c>
      <c r="D14">
        <v>261.29673000000003</v>
      </c>
    </row>
    <row r="15" spans="1:4" x14ac:dyDescent="0.25">
      <c r="A15">
        <v>11</v>
      </c>
      <c r="B15">
        <v>184.47371000000001</v>
      </c>
      <c r="C15">
        <v>218.68966</v>
      </c>
      <c r="D15">
        <v>244.45385999999999</v>
      </c>
    </row>
    <row r="16" spans="1:4" x14ac:dyDescent="0.25">
      <c r="A16">
        <v>12</v>
      </c>
      <c r="B16">
        <v>171.35194000000001</v>
      </c>
      <c r="C16">
        <v>201.95731000000001</v>
      </c>
      <c r="D16">
        <v>267.24540999999999</v>
      </c>
    </row>
    <row r="17" spans="1:4" x14ac:dyDescent="0.25">
      <c r="A17">
        <v>13</v>
      </c>
      <c r="B17">
        <v>174.98492999999999</v>
      </c>
      <c r="C17">
        <v>183.60461000000001</v>
      </c>
      <c r="D17">
        <v>261.04682000000003</v>
      </c>
    </row>
    <row r="18" spans="1:4" x14ac:dyDescent="0.25">
      <c r="A18">
        <v>14</v>
      </c>
      <c r="B18">
        <v>172.58628999999999</v>
      </c>
      <c r="C18">
        <v>193.75380999999999</v>
      </c>
      <c r="D18">
        <v>249.21798000000001</v>
      </c>
    </row>
    <row r="19" spans="1:4" x14ac:dyDescent="0.25">
      <c r="A19">
        <v>15</v>
      </c>
      <c r="B19">
        <v>177.70940999999999</v>
      </c>
      <c r="C19">
        <v>220.52482000000001</v>
      </c>
      <c r="D19">
        <v>247.02914999999999</v>
      </c>
    </row>
    <row r="20" spans="1:4" x14ac:dyDescent="0.25">
      <c r="A20">
        <v>16</v>
      </c>
      <c r="B20">
        <v>184.76661999999999</v>
      </c>
      <c r="C20">
        <v>249.70033000000001</v>
      </c>
      <c r="D20">
        <v>251.751</v>
      </c>
    </row>
    <row r="21" spans="1:4" x14ac:dyDescent="0.25">
      <c r="A21">
        <v>17</v>
      </c>
      <c r="B21">
        <v>173.90539000000001</v>
      </c>
      <c r="C21">
        <v>225.20936</v>
      </c>
      <c r="D21">
        <v>234.84933000000001</v>
      </c>
    </row>
    <row r="22" spans="1:4" x14ac:dyDescent="0.25">
      <c r="A22">
        <v>18</v>
      </c>
      <c r="B22">
        <v>170.41417000000001</v>
      </c>
      <c r="C22">
        <v>212.79632000000001</v>
      </c>
      <c r="D22">
        <v>217.65998999999999</v>
      </c>
    </row>
    <row r="23" spans="1:4" x14ac:dyDescent="0.25">
      <c r="A23">
        <v>19</v>
      </c>
      <c r="B23">
        <v>181.52441999999999</v>
      </c>
      <c r="C23">
        <v>205.63821999999999</v>
      </c>
      <c r="D23">
        <v>251.15969000000001</v>
      </c>
    </row>
    <row r="24" spans="1:4" x14ac:dyDescent="0.25">
      <c r="A24">
        <v>20</v>
      </c>
      <c r="B24">
        <v>181.39794000000001</v>
      </c>
      <c r="C24">
        <v>198.5384</v>
      </c>
      <c r="D24">
        <v>242.50388000000001</v>
      </c>
    </row>
    <row r="25" spans="1:4" x14ac:dyDescent="0.25">
      <c r="A25">
        <v>21</v>
      </c>
      <c r="B25">
        <v>174.84875</v>
      </c>
      <c r="C25">
        <v>214.08508</v>
      </c>
      <c r="D25">
        <v>242.32156000000001</v>
      </c>
    </row>
    <row r="26" spans="1:4" x14ac:dyDescent="0.25">
      <c r="A26">
        <v>22</v>
      </c>
      <c r="B26">
        <v>163.16236000000001</v>
      </c>
      <c r="C26">
        <v>212.46499</v>
      </c>
      <c r="D26">
        <v>244.05869000000001</v>
      </c>
    </row>
    <row r="27" spans="1:4" x14ac:dyDescent="0.25">
      <c r="A27">
        <v>23</v>
      </c>
      <c r="B27">
        <v>170.16825</v>
      </c>
      <c r="C27">
        <v>198.91601</v>
      </c>
      <c r="D27">
        <v>228.02189000000001</v>
      </c>
    </row>
    <row r="28" spans="1:4" x14ac:dyDescent="0.25">
      <c r="A28">
        <v>24</v>
      </c>
      <c r="B28">
        <v>173.36933999999999</v>
      </c>
      <c r="C28">
        <v>204.55081000000001</v>
      </c>
      <c r="D28">
        <v>245.60863000000001</v>
      </c>
    </row>
    <row r="29" spans="1:4" x14ac:dyDescent="0.25">
      <c r="A29">
        <v>25</v>
      </c>
      <c r="B29">
        <v>177.24889999999999</v>
      </c>
      <c r="C29">
        <v>212.63809000000001</v>
      </c>
      <c r="D29">
        <v>221.41920999999999</v>
      </c>
    </row>
    <row r="30" spans="1:4" x14ac:dyDescent="0.25">
      <c r="A30">
        <v>26</v>
      </c>
      <c r="B30">
        <v>98.720460000000003</v>
      </c>
      <c r="C30">
        <v>142.4521</v>
      </c>
      <c r="D30">
        <v>149.76492999999999</v>
      </c>
    </row>
    <row r="31" spans="1:4" x14ac:dyDescent="0.25">
      <c r="A31">
        <v>27</v>
      </c>
      <c r="B31">
        <v>50.942039999999999</v>
      </c>
      <c r="C31">
        <v>152.15846999999999</v>
      </c>
      <c r="D31">
        <v>111.54911</v>
      </c>
    </row>
    <row r="32" spans="1:4" x14ac:dyDescent="0.25">
      <c r="A32">
        <v>28</v>
      </c>
      <c r="B32">
        <v>173.63750999999999</v>
      </c>
      <c r="C32">
        <v>185.03886</v>
      </c>
      <c r="D32">
        <v>202.07978</v>
      </c>
    </row>
    <row r="33" spans="1:4" x14ac:dyDescent="0.25">
      <c r="A33">
        <v>29</v>
      </c>
      <c r="B33">
        <v>201.53111000000001</v>
      </c>
      <c r="C33">
        <v>221.59869</v>
      </c>
      <c r="D33">
        <v>256.46287999999998</v>
      </c>
    </row>
    <row r="34" spans="1:4" x14ac:dyDescent="0.25">
      <c r="A34">
        <v>30</v>
      </c>
      <c r="B34">
        <v>194.52668</v>
      </c>
      <c r="C34">
        <v>226.20443</v>
      </c>
      <c r="D34">
        <v>252.00273999999999</v>
      </c>
    </row>
    <row r="35" spans="1:4" x14ac:dyDescent="0.25">
      <c r="A35">
        <v>31</v>
      </c>
      <c r="B35">
        <v>191.16051999999999</v>
      </c>
      <c r="C35">
        <v>231.04309000000001</v>
      </c>
      <c r="D35">
        <v>242.46036000000001</v>
      </c>
    </row>
    <row r="36" spans="1:4" x14ac:dyDescent="0.25">
      <c r="A36">
        <v>32</v>
      </c>
      <c r="B36">
        <v>179.40241</v>
      </c>
      <c r="C36">
        <v>220.58756</v>
      </c>
      <c r="D36">
        <v>243.92976999999999</v>
      </c>
    </row>
    <row r="37" spans="1:4" x14ac:dyDescent="0.25">
      <c r="A37">
        <v>33</v>
      </c>
      <c r="B37">
        <v>179.45962</v>
      </c>
      <c r="C37">
        <v>194.04431</v>
      </c>
      <c r="D37">
        <v>236.47537</v>
      </c>
    </row>
    <row r="38" spans="1:4" x14ac:dyDescent="0.25">
      <c r="A38">
        <v>34</v>
      </c>
      <c r="B38">
        <v>156.17443</v>
      </c>
      <c r="C38">
        <v>209.44146000000001</v>
      </c>
      <c r="D38">
        <v>190.02420000000001</v>
      </c>
    </row>
    <row r="39" spans="1:4" x14ac:dyDescent="0.25">
      <c r="A39">
        <v>35</v>
      </c>
      <c r="B39">
        <v>174.32678999999999</v>
      </c>
      <c r="C39">
        <v>224.19422</v>
      </c>
      <c r="D39">
        <v>157.99453</v>
      </c>
    </row>
    <row r="40" spans="1:4" x14ac:dyDescent="0.25">
      <c r="A40">
        <v>36</v>
      </c>
      <c r="B40">
        <v>176.27876000000001</v>
      </c>
      <c r="C40">
        <v>220.92962</v>
      </c>
      <c r="D40">
        <v>192.22623999999999</v>
      </c>
    </row>
    <row r="41" spans="1:4" x14ac:dyDescent="0.25">
      <c r="A41">
        <v>37</v>
      </c>
      <c r="B41">
        <v>169.31228999999999</v>
      </c>
      <c r="C41">
        <v>228.03981999999999</v>
      </c>
      <c r="D41">
        <v>213.19038</v>
      </c>
    </row>
    <row r="42" spans="1:4" x14ac:dyDescent="0.25">
      <c r="A42">
        <v>38</v>
      </c>
      <c r="B42">
        <v>176.21448000000001</v>
      </c>
      <c r="C42">
        <v>216.43091000000001</v>
      </c>
      <c r="D42">
        <v>222.62762000000001</v>
      </c>
    </row>
    <row r="43" spans="1:4" x14ac:dyDescent="0.25">
      <c r="A43">
        <v>39</v>
      </c>
      <c r="B43">
        <v>179.58327</v>
      </c>
      <c r="C43">
        <v>219.99098000000001</v>
      </c>
      <c r="D43">
        <v>228.31895</v>
      </c>
    </row>
    <row r="44" spans="1:4" x14ac:dyDescent="0.25">
      <c r="A44">
        <v>40</v>
      </c>
      <c r="B44">
        <v>168.04845</v>
      </c>
      <c r="C44">
        <v>210.37447</v>
      </c>
      <c r="D44">
        <v>233.42438000000001</v>
      </c>
    </row>
    <row r="45" spans="1:4" x14ac:dyDescent="0.25">
      <c r="A45">
        <v>41</v>
      </c>
      <c r="B45">
        <v>166.69042999999999</v>
      </c>
      <c r="C45">
        <v>209.78235000000001</v>
      </c>
      <c r="D45">
        <v>238.14624000000001</v>
      </c>
    </row>
    <row r="46" spans="1:4" x14ac:dyDescent="0.25">
      <c r="A46">
        <v>42</v>
      </c>
      <c r="B46">
        <v>167.34771000000001</v>
      </c>
      <c r="C46">
        <v>229.62612999999999</v>
      </c>
      <c r="D46">
        <v>260.51891999999998</v>
      </c>
    </row>
    <row r="47" spans="1:4" x14ac:dyDescent="0.25">
      <c r="A47">
        <v>43</v>
      </c>
      <c r="B47">
        <v>156.43056000000001</v>
      </c>
      <c r="C47">
        <v>251.53686999999999</v>
      </c>
      <c r="D47">
        <v>262.23689000000002</v>
      </c>
    </row>
    <row r="48" spans="1:4" x14ac:dyDescent="0.25">
      <c r="A48">
        <v>44</v>
      </c>
      <c r="B48">
        <v>172.80160000000001</v>
      </c>
      <c r="C48">
        <v>261.60307</v>
      </c>
      <c r="D48">
        <v>263.33177999999998</v>
      </c>
    </row>
    <row r="49" spans="1:4" x14ac:dyDescent="0.25">
      <c r="A49">
        <v>45</v>
      </c>
      <c r="B49">
        <v>169.65629000000001</v>
      </c>
      <c r="C49">
        <v>265.11748999999998</v>
      </c>
      <c r="D49">
        <v>270.38902999999999</v>
      </c>
    </row>
    <row r="50" spans="1:4" x14ac:dyDescent="0.25">
      <c r="A50">
        <v>46</v>
      </c>
      <c r="B50">
        <v>168.00585000000001</v>
      </c>
      <c r="C50">
        <v>266.54881</v>
      </c>
      <c r="D50">
        <v>271.83494999999999</v>
      </c>
    </row>
    <row r="51" spans="1:4" x14ac:dyDescent="0.25">
      <c r="A51">
        <v>47</v>
      </c>
      <c r="B51">
        <v>163.76740000000001</v>
      </c>
      <c r="C51">
        <v>275.34012999999999</v>
      </c>
      <c r="D51">
        <v>274.81729000000001</v>
      </c>
    </row>
    <row r="52" spans="1:4" x14ac:dyDescent="0.25">
      <c r="A52">
        <v>48</v>
      </c>
      <c r="B52">
        <v>168.56872999999999</v>
      </c>
      <c r="C52">
        <v>267.51519999999999</v>
      </c>
      <c r="D52">
        <v>274.36225000000002</v>
      </c>
    </row>
    <row r="53" spans="1:4" x14ac:dyDescent="0.25">
      <c r="A53">
        <v>49</v>
      </c>
      <c r="B53">
        <v>155.37232</v>
      </c>
      <c r="C53">
        <v>265.47984000000002</v>
      </c>
      <c r="D53">
        <v>275.30205000000001</v>
      </c>
    </row>
    <row r="54" spans="1:4" x14ac:dyDescent="0.25">
      <c r="A54">
        <v>50</v>
      </c>
      <c r="B54">
        <v>184.78558000000001</v>
      </c>
      <c r="C54">
        <v>263.49259000000001</v>
      </c>
      <c r="D54">
        <v>277.85237999999998</v>
      </c>
    </row>
    <row r="55" spans="1:4" x14ac:dyDescent="0.25">
      <c r="A55">
        <v>51</v>
      </c>
      <c r="B55">
        <v>239.49876</v>
      </c>
      <c r="C55">
        <v>250.98106999999999</v>
      </c>
      <c r="D55">
        <v>295.78464000000002</v>
      </c>
    </row>
    <row r="56" spans="1:4" x14ac:dyDescent="0.25">
      <c r="A56">
        <v>52</v>
      </c>
      <c r="B56">
        <v>214.52404000000001</v>
      </c>
      <c r="C56">
        <v>193.78276</v>
      </c>
      <c r="D56">
        <v>241.05366000000001</v>
      </c>
    </row>
    <row r="57" spans="1:4" x14ac:dyDescent="0.25">
      <c r="A57">
        <v>53</v>
      </c>
      <c r="B57">
        <v>146.81985</v>
      </c>
      <c r="C57">
        <v>150.14590000000001</v>
      </c>
      <c r="D57">
        <v>138.61777000000001</v>
      </c>
    </row>
    <row r="58" spans="1:4" x14ac:dyDescent="0.25">
      <c r="A58">
        <v>54</v>
      </c>
      <c r="B58">
        <v>93.086250000000007</v>
      </c>
      <c r="C58">
        <v>251.54168999999999</v>
      </c>
      <c r="D58">
        <v>185.93924999999999</v>
      </c>
    </row>
    <row r="59" spans="1:4" x14ac:dyDescent="0.25">
      <c r="A59">
        <v>55</v>
      </c>
      <c r="B59">
        <v>154.89501999999999</v>
      </c>
      <c r="C59">
        <v>262.96355999999997</v>
      </c>
      <c r="D59">
        <v>242.53281000000001</v>
      </c>
    </row>
    <row r="60" spans="1:4" x14ac:dyDescent="0.25">
      <c r="A60">
        <v>56</v>
      </c>
      <c r="B60">
        <v>196.69273999999999</v>
      </c>
      <c r="C60">
        <v>229.56700000000001</v>
      </c>
      <c r="D60">
        <v>271.84294999999997</v>
      </c>
    </row>
    <row r="61" spans="1:4" x14ac:dyDescent="0.25">
      <c r="A61">
        <v>57</v>
      </c>
      <c r="B61">
        <v>186.50148999999999</v>
      </c>
      <c r="C61">
        <v>247.55643000000001</v>
      </c>
      <c r="D61">
        <v>275.48921000000001</v>
      </c>
    </row>
    <row r="62" spans="1:4" x14ac:dyDescent="0.25">
      <c r="A62">
        <v>58</v>
      </c>
      <c r="B62">
        <v>176.39018999999999</v>
      </c>
      <c r="C62">
        <v>261.97492999999997</v>
      </c>
      <c r="D62">
        <v>275.64004999999997</v>
      </c>
    </row>
    <row r="63" spans="1:4" x14ac:dyDescent="0.25">
      <c r="A63">
        <v>59</v>
      </c>
      <c r="B63">
        <v>209.02865</v>
      </c>
      <c r="C63">
        <v>248.43618000000001</v>
      </c>
      <c r="D63">
        <v>254.52714</v>
      </c>
    </row>
    <row r="64" spans="1:4" x14ac:dyDescent="0.25">
      <c r="A64">
        <v>60</v>
      </c>
      <c r="B64">
        <v>192.64054999999999</v>
      </c>
      <c r="C64">
        <v>279.53699999999998</v>
      </c>
      <c r="D64">
        <v>274.71282000000002</v>
      </c>
    </row>
    <row r="65" spans="1:4" x14ac:dyDescent="0.25">
      <c r="A65">
        <v>61</v>
      </c>
      <c r="B65">
        <v>181.60619</v>
      </c>
      <c r="C65">
        <v>263.42446999999999</v>
      </c>
      <c r="D65">
        <v>265.59654999999998</v>
      </c>
    </row>
    <row r="66" spans="1:4" x14ac:dyDescent="0.25">
      <c r="A66">
        <v>62</v>
      </c>
      <c r="B66">
        <v>179.92216999999999</v>
      </c>
      <c r="C66">
        <v>256.02359999999999</v>
      </c>
      <c r="D66">
        <v>247.84817000000001</v>
      </c>
    </row>
    <row r="67" spans="1:4" x14ac:dyDescent="0.25">
      <c r="A67">
        <v>63</v>
      </c>
      <c r="B67">
        <v>194.83479</v>
      </c>
      <c r="C67">
        <v>264.60086999999999</v>
      </c>
      <c r="D67">
        <v>260.18738000000002</v>
      </c>
    </row>
    <row r="68" spans="1:4" x14ac:dyDescent="0.25">
      <c r="A68">
        <v>64</v>
      </c>
      <c r="B68">
        <v>170.44945000000001</v>
      </c>
      <c r="C68">
        <v>257.97179</v>
      </c>
      <c r="D68">
        <v>262.11601000000002</v>
      </c>
    </row>
    <row r="69" spans="1:4" x14ac:dyDescent="0.25">
      <c r="A69">
        <v>65</v>
      </c>
      <c r="B69">
        <v>177.18943999999999</v>
      </c>
      <c r="C69">
        <v>214.56587999999999</v>
      </c>
      <c r="D69">
        <v>273.26724999999999</v>
      </c>
    </row>
    <row r="70" spans="1:4" x14ac:dyDescent="0.25">
      <c r="A70">
        <v>66</v>
      </c>
      <c r="B70">
        <v>191.35624000000001</v>
      </c>
      <c r="C70">
        <v>212.81990999999999</v>
      </c>
      <c r="D70">
        <v>268.40528</v>
      </c>
    </row>
    <row r="71" spans="1:4" x14ac:dyDescent="0.25">
      <c r="A71">
        <v>67</v>
      </c>
      <c r="B71">
        <v>184.27429000000001</v>
      </c>
      <c r="C71">
        <v>214.18521999999999</v>
      </c>
      <c r="D71">
        <v>272.63965000000002</v>
      </c>
    </row>
    <row r="72" spans="1:4" x14ac:dyDescent="0.25">
      <c r="A72">
        <v>68</v>
      </c>
      <c r="B72">
        <v>178.06723</v>
      </c>
      <c r="C72">
        <v>215.60802000000001</v>
      </c>
      <c r="D72">
        <v>261.77152000000001</v>
      </c>
    </row>
    <row r="73" spans="1:4" x14ac:dyDescent="0.25">
      <c r="A73">
        <v>69</v>
      </c>
      <c r="B73">
        <v>185.45746</v>
      </c>
      <c r="C73">
        <v>214.20151999999999</v>
      </c>
      <c r="D73">
        <v>259.88020999999998</v>
      </c>
    </row>
    <row r="74" spans="1:4" x14ac:dyDescent="0.25">
      <c r="A74">
        <v>70</v>
      </c>
      <c r="B74">
        <v>182.04354000000001</v>
      </c>
      <c r="C74">
        <v>210.47273999999999</v>
      </c>
      <c r="D74">
        <v>255.07389000000001</v>
      </c>
    </row>
    <row r="75" spans="1:4" x14ac:dyDescent="0.25">
      <c r="A75">
        <v>71</v>
      </c>
      <c r="B75">
        <v>167.87020999999999</v>
      </c>
      <c r="C75">
        <v>210.87886</v>
      </c>
      <c r="D75">
        <v>251.42285000000001</v>
      </c>
    </row>
    <row r="76" spans="1:4" x14ac:dyDescent="0.25">
      <c r="A76">
        <v>72</v>
      </c>
      <c r="B76">
        <v>171.74959000000001</v>
      </c>
      <c r="C76">
        <v>204.65736999999999</v>
      </c>
      <c r="D76">
        <v>257.64416</v>
      </c>
    </row>
    <row r="77" spans="1:4" x14ac:dyDescent="0.25">
      <c r="A77">
        <v>73</v>
      </c>
      <c r="B77">
        <v>163.57462000000001</v>
      </c>
      <c r="C77">
        <v>201.16815</v>
      </c>
      <c r="D77">
        <v>255.10258999999999</v>
      </c>
    </row>
    <row r="78" spans="1:4" x14ac:dyDescent="0.25">
      <c r="A78">
        <v>74</v>
      </c>
      <c r="B78">
        <v>174.68222</v>
      </c>
      <c r="C78">
        <v>214.24901</v>
      </c>
      <c r="D78">
        <v>234.55546000000001</v>
      </c>
    </row>
    <row r="79" spans="1:4" x14ac:dyDescent="0.25">
      <c r="A79">
        <v>75</v>
      </c>
      <c r="B79">
        <v>171.69046</v>
      </c>
      <c r="C79">
        <v>203.29001</v>
      </c>
      <c r="D79">
        <v>237.23885999999999</v>
      </c>
    </row>
    <row r="80" spans="1:4" x14ac:dyDescent="0.25">
      <c r="A80">
        <v>76</v>
      </c>
      <c r="B80">
        <v>174.78207</v>
      </c>
      <c r="C80">
        <v>205.00756000000001</v>
      </c>
      <c r="D80">
        <v>249.69619</v>
      </c>
    </row>
    <row r="81" spans="1:4" x14ac:dyDescent="0.25">
      <c r="A81">
        <v>77</v>
      </c>
      <c r="B81">
        <v>193.59958</v>
      </c>
      <c r="C81">
        <v>217.04338000000001</v>
      </c>
      <c r="D81">
        <v>253.88267999999999</v>
      </c>
    </row>
    <row r="82" spans="1:4" x14ac:dyDescent="0.25">
      <c r="A82">
        <v>78</v>
      </c>
      <c r="B82">
        <v>214.87619000000001</v>
      </c>
      <c r="C82">
        <v>196.74698000000001</v>
      </c>
      <c r="D82">
        <v>223.47586999999999</v>
      </c>
    </row>
    <row r="83" spans="1:4" x14ac:dyDescent="0.25">
      <c r="A83">
        <v>79</v>
      </c>
      <c r="B83">
        <v>176.07366999999999</v>
      </c>
      <c r="C83">
        <v>139.93584000000001</v>
      </c>
      <c r="D83">
        <v>178.64058</v>
      </c>
    </row>
    <row r="84" spans="1:4" x14ac:dyDescent="0.25">
      <c r="A84">
        <v>80</v>
      </c>
      <c r="B84">
        <v>144.37694999999999</v>
      </c>
      <c r="C84">
        <v>124.18792999999999</v>
      </c>
      <c r="D84">
        <v>138.46874</v>
      </c>
    </row>
    <row r="85" spans="1:4" x14ac:dyDescent="0.25">
      <c r="A85">
        <v>81</v>
      </c>
      <c r="B85">
        <v>108.277</v>
      </c>
      <c r="C85">
        <v>181.98057</v>
      </c>
      <c r="D85">
        <v>156.77679000000001</v>
      </c>
    </row>
    <row r="86" spans="1:4" x14ac:dyDescent="0.25">
      <c r="A86">
        <v>82</v>
      </c>
      <c r="B86">
        <v>126.95355000000001</v>
      </c>
      <c r="C86">
        <v>195.66275999999999</v>
      </c>
      <c r="D86">
        <v>211.31054</v>
      </c>
    </row>
    <row r="87" spans="1:4" x14ac:dyDescent="0.25">
      <c r="A87">
        <v>83</v>
      </c>
      <c r="B87">
        <v>155.22838999999999</v>
      </c>
      <c r="C87">
        <v>187.37558000000001</v>
      </c>
      <c r="D87">
        <v>223.45907</v>
      </c>
    </row>
    <row r="88" spans="1:4" x14ac:dyDescent="0.25">
      <c r="A88">
        <v>84</v>
      </c>
      <c r="B88">
        <v>180.57597999999999</v>
      </c>
      <c r="C88">
        <v>191.76563999999999</v>
      </c>
      <c r="D88">
        <v>218.2165</v>
      </c>
    </row>
    <row r="89" spans="1:4" x14ac:dyDescent="0.25">
      <c r="A89">
        <v>85</v>
      </c>
      <c r="B89">
        <v>182.67234999999999</v>
      </c>
      <c r="C89">
        <v>191.21950000000001</v>
      </c>
      <c r="D89">
        <v>233.16985</v>
      </c>
    </row>
    <row r="90" spans="1:4" x14ac:dyDescent="0.25">
      <c r="A90">
        <v>86</v>
      </c>
      <c r="B90">
        <v>192.57149000000001</v>
      </c>
      <c r="C90">
        <v>197.01159999999999</v>
      </c>
      <c r="D90">
        <v>233.70833999999999</v>
      </c>
    </row>
    <row r="91" spans="1:4" x14ac:dyDescent="0.25">
      <c r="A91">
        <v>87</v>
      </c>
      <c r="B91">
        <v>191.05667</v>
      </c>
      <c r="C91">
        <v>203.00093000000001</v>
      </c>
      <c r="D91">
        <v>232.36723000000001</v>
      </c>
    </row>
    <row r="92" spans="1:4" x14ac:dyDescent="0.25">
      <c r="A92">
        <v>88</v>
      </c>
      <c r="B92">
        <v>164.77135000000001</v>
      </c>
      <c r="C92">
        <v>204.8211</v>
      </c>
      <c r="D92">
        <v>233.29801</v>
      </c>
    </row>
    <row r="93" spans="1:4" x14ac:dyDescent="0.25">
      <c r="A93">
        <v>89</v>
      </c>
      <c r="B93">
        <v>177.9495</v>
      </c>
      <c r="C93">
        <v>206.30237</v>
      </c>
      <c r="D93">
        <v>238.82142999999999</v>
      </c>
    </row>
    <row r="94" spans="1:4" x14ac:dyDescent="0.25">
      <c r="A94">
        <v>90</v>
      </c>
      <c r="B94">
        <v>172.10364000000001</v>
      </c>
      <c r="C94">
        <v>213.33393000000001</v>
      </c>
      <c r="D94">
        <v>242.79731000000001</v>
      </c>
    </row>
    <row r="95" spans="1:4" x14ac:dyDescent="0.25">
      <c r="A95">
        <v>91</v>
      </c>
      <c r="B95">
        <v>188.76343</v>
      </c>
      <c r="C95">
        <v>205.40701999999999</v>
      </c>
      <c r="D95">
        <v>220.08552</v>
      </c>
    </row>
    <row r="96" spans="1:4" x14ac:dyDescent="0.25">
      <c r="A96">
        <v>92</v>
      </c>
      <c r="B96">
        <v>182.11408</v>
      </c>
      <c r="C96">
        <v>210.20636999999999</v>
      </c>
      <c r="D96">
        <v>217.02858000000001</v>
      </c>
    </row>
    <row r="97" spans="1:4" x14ac:dyDescent="0.25">
      <c r="A97">
        <v>93</v>
      </c>
      <c r="B97">
        <v>186.14265</v>
      </c>
      <c r="C97">
        <v>188.70314999999999</v>
      </c>
      <c r="D97">
        <v>240.41292999999999</v>
      </c>
    </row>
    <row r="98" spans="1:4" x14ac:dyDescent="0.25">
      <c r="A98">
        <v>94</v>
      </c>
      <c r="B98">
        <v>187.16746000000001</v>
      </c>
      <c r="C98">
        <v>182.37571</v>
      </c>
      <c r="D98">
        <v>242.64469</v>
      </c>
    </row>
    <row r="99" spans="1:4" x14ac:dyDescent="0.25">
      <c r="A99">
        <v>95</v>
      </c>
      <c r="B99">
        <v>192.68424999999999</v>
      </c>
      <c r="C99">
        <v>211.20594</v>
      </c>
      <c r="D99">
        <v>225.66551999999999</v>
      </c>
    </row>
    <row r="100" spans="1:4" x14ac:dyDescent="0.25">
      <c r="A100">
        <v>96</v>
      </c>
      <c r="B100">
        <v>183.28004999999999</v>
      </c>
      <c r="C100">
        <v>232.63068999999999</v>
      </c>
      <c r="D100">
        <v>240.00287</v>
      </c>
    </row>
    <row r="101" spans="1:4" x14ac:dyDescent="0.25">
      <c r="A101">
        <v>97</v>
      </c>
      <c r="B101">
        <v>174.36116000000001</v>
      </c>
      <c r="C101">
        <v>221.75115</v>
      </c>
      <c r="D101">
        <v>233.22709</v>
      </c>
    </row>
    <row r="102" spans="1:4" x14ac:dyDescent="0.25">
      <c r="A102">
        <v>98</v>
      </c>
      <c r="B102">
        <v>166.99569</v>
      </c>
      <c r="C102">
        <v>216.90815000000001</v>
      </c>
      <c r="D102">
        <v>214.09423000000001</v>
      </c>
    </row>
    <row r="103" spans="1:4" x14ac:dyDescent="0.25">
      <c r="A103">
        <v>99</v>
      </c>
      <c r="B103">
        <v>155.69352000000001</v>
      </c>
      <c r="C103">
        <v>214.27393000000001</v>
      </c>
      <c r="D103">
        <v>209.15295</v>
      </c>
    </row>
    <row r="104" spans="1:4" x14ac:dyDescent="0.25">
      <c r="A104">
        <v>100</v>
      </c>
      <c r="B104">
        <v>162.40428</v>
      </c>
      <c r="C104">
        <v>214.10677999999999</v>
      </c>
      <c r="D104">
        <v>221.72067000000001</v>
      </c>
    </row>
    <row r="105" spans="1:4" x14ac:dyDescent="0.25">
      <c r="A105">
        <v>101</v>
      </c>
      <c r="B105">
        <v>157.35146</v>
      </c>
      <c r="C105">
        <v>214.28784999999999</v>
      </c>
      <c r="D105">
        <v>215.49340000000001</v>
      </c>
    </row>
    <row r="106" spans="1:4" x14ac:dyDescent="0.25">
      <c r="A106">
        <v>102</v>
      </c>
      <c r="B106">
        <v>163.05331000000001</v>
      </c>
      <c r="C106">
        <v>215.05132</v>
      </c>
      <c r="D106">
        <v>201.30081999999999</v>
      </c>
    </row>
    <row r="107" spans="1:4" x14ac:dyDescent="0.25">
      <c r="A107">
        <v>103</v>
      </c>
      <c r="B107">
        <v>172.98094</v>
      </c>
      <c r="C107">
        <v>213.26876999999999</v>
      </c>
      <c r="D107">
        <v>209.13032999999999</v>
      </c>
    </row>
    <row r="108" spans="1:4" x14ac:dyDescent="0.25">
      <c r="A108">
        <v>104</v>
      </c>
      <c r="B108">
        <v>157.11951999999999</v>
      </c>
      <c r="C108">
        <v>197.97462999999999</v>
      </c>
      <c r="D108">
        <v>209.52104</v>
      </c>
    </row>
    <row r="109" spans="1:4" x14ac:dyDescent="0.25">
      <c r="A109">
        <v>105</v>
      </c>
      <c r="B109">
        <v>156.85247000000001</v>
      </c>
      <c r="C109">
        <v>169.35649000000001</v>
      </c>
      <c r="D109">
        <v>184.01076</v>
      </c>
    </row>
    <row r="110" spans="1:4" x14ac:dyDescent="0.25">
      <c r="A110">
        <v>106</v>
      </c>
      <c r="B110">
        <v>151.84098</v>
      </c>
      <c r="C110">
        <v>124.41031</v>
      </c>
      <c r="D110">
        <v>132.59691000000001</v>
      </c>
    </row>
    <row r="111" spans="1:4" x14ac:dyDescent="0.25">
      <c r="A111">
        <v>107</v>
      </c>
      <c r="B111">
        <v>136.70319000000001</v>
      </c>
      <c r="C111">
        <v>114.54496</v>
      </c>
      <c r="D111">
        <v>161.94726</v>
      </c>
    </row>
    <row r="112" spans="1:4" x14ac:dyDescent="0.25">
      <c r="A112">
        <v>108</v>
      </c>
      <c r="B112">
        <v>90.625119999999995</v>
      </c>
      <c r="C112">
        <v>138.37241</v>
      </c>
      <c r="D112">
        <v>207.02591000000001</v>
      </c>
    </row>
    <row r="113" spans="1:4" x14ac:dyDescent="0.25">
      <c r="A113">
        <v>109</v>
      </c>
      <c r="B113">
        <v>104.52946</v>
      </c>
      <c r="C113">
        <v>168.3989</v>
      </c>
      <c r="D113">
        <v>218.81645</v>
      </c>
    </row>
    <row r="114" spans="1:4" x14ac:dyDescent="0.25">
      <c r="A114">
        <v>110</v>
      </c>
      <c r="B114">
        <v>115.64368</v>
      </c>
      <c r="C114">
        <v>178.21388999999999</v>
      </c>
      <c r="D114">
        <v>226.85364000000001</v>
      </c>
    </row>
    <row r="115" spans="1:4" x14ac:dyDescent="0.25">
      <c r="A115">
        <v>111</v>
      </c>
      <c r="B115">
        <v>140.51174</v>
      </c>
      <c r="C115">
        <v>190.29105000000001</v>
      </c>
      <c r="D115">
        <v>234.91244</v>
      </c>
    </row>
    <row r="116" spans="1:4" x14ac:dyDescent="0.25">
      <c r="A116">
        <v>112</v>
      </c>
      <c r="B116">
        <v>171.63265000000001</v>
      </c>
      <c r="C116">
        <v>195.79114000000001</v>
      </c>
      <c r="D116">
        <v>238.07335</v>
      </c>
    </row>
    <row r="117" spans="1:4" x14ac:dyDescent="0.25">
      <c r="A117">
        <v>113</v>
      </c>
      <c r="B117">
        <v>188.26901000000001</v>
      </c>
      <c r="C117">
        <v>193.43197000000001</v>
      </c>
      <c r="D117">
        <v>247.53897000000001</v>
      </c>
    </row>
    <row r="118" spans="1:4" x14ac:dyDescent="0.25">
      <c r="A118">
        <v>114</v>
      </c>
      <c r="B118">
        <v>181.62299999999999</v>
      </c>
      <c r="C118">
        <v>191.70313999999999</v>
      </c>
      <c r="D118">
        <v>240.92302000000001</v>
      </c>
    </row>
    <row r="119" spans="1:4" x14ac:dyDescent="0.25">
      <c r="A119">
        <v>115</v>
      </c>
      <c r="B119">
        <v>181.80868000000001</v>
      </c>
      <c r="C119">
        <v>191.39855</v>
      </c>
      <c r="D119">
        <v>235.50056000000001</v>
      </c>
    </row>
    <row r="120" spans="1:4" x14ac:dyDescent="0.25">
      <c r="A120">
        <v>116</v>
      </c>
      <c r="B120">
        <v>180.96191999999999</v>
      </c>
      <c r="C120">
        <v>194.70685</v>
      </c>
      <c r="D120">
        <v>239.17014</v>
      </c>
    </row>
    <row r="121" spans="1:4" x14ac:dyDescent="0.25">
      <c r="A121">
        <v>117</v>
      </c>
      <c r="B121">
        <v>182.52726000000001</v>
      </c>
      <c r="C121">
        <v>199.28235000000001</v>
      </c>
      <c r="D121">
        <v>219.19256999999999</v>
      </c>
    </row>
    <row r="122" spans="1:4" x14ac:dyDescent="0.25">
      <c r="A122">
        <v>118</v>
      </c>
      <c r="B122">
        <v>178.29427000000001</v>
      </c>
      <c r="C122">
        <v>209.39282</v>
      </c>
      <c r="D122">
        <v>227.35933</v>
      </c>
    </row>
    <row r="123" spans="1:4" x14ac:dyDescent="0.25">
      <c r="A123">
        <v>119</v>
      </c>
      <c r="B123">
        <v>183.47671</v>
      </c>
      <c r="C123">
        <v>212.47486000000001</v>
      </c>
      <c r="D123">
        <v>229.18958000000001</v>
      </c>
    </row>
    <row r="124" spans="1:4" x14ac:dyDescent="0.25">
      <c r="A124">
        <v>120</v>
      </c>
      <c r="B124">
        <v>187.13661999999999</v>
      </c>
      <c r="C124">
        <v>200.47660999999999</v>
      </c>
      <c r="D124">
        <v>218.24198999999999</v>
      </c>
    </row>
    <row r="125" spans="1:4" x14ac:dyDescent="0.25">
      <c r="A125">
        <v>121</v>
      </c>
      <c r="B125">
        <v>177.93523999999999</v>
      </c>
      <c r="C125">
        <v>192.59054</v>
      </c>
      <c r="D125">
        <v>222.46859000000001</v>
      </c>
    </row>
    <row r="126" spans="1:4" x14ac:dyDescent="0.25">
      <c r="A126">
        <v>122</v>
      </c>
      <c r="B126">
        <v>177.33249000000001</v>
      </c>
      <c r="C126">
        <v>198.89759000000001</v>
      </c>
      <c r="D126">
        <v>209.30341999999999</v>
      </c>
    </row>
    <row r="127" spans="1:4" x14ac:dyDescent="0.25">
      <c r="A127">
        <v>123</v>
      </c>
      <c r="B127">
        <v>186.71684999999999</v>
      </c>
      <c r="C127">
        <v>194.33609000000001</v>
      </c>
      <c r="D127">
        <v>208.79167000000001</v>
      </c>
    </row>
    <row r="128" spans="1:4" x14ac:dyDescent="0.25">
      <c r="A128">
        <v>124</v>
      </c>
      <c r="B128">
        <v>182.04649000000001</v>
      </c>
      <c r="C128">
        <v>182.89503999999999</v>
      </c>
      <c r="D128">
        <v>207.08019999999999</v>
      </c>
    </row>
    <row r="129" spans="1:4" x14ac:dyDescent="0.25">
      <c r="A129">
        <v>125</v>
      </c>
      <c r="B129">
        <v>180.51975999999999</v>
      </c>
      <c r="C129">
        <v>183.81378000000001</v>
      </c>
      <c r="D129">
        <v>207.53151</v>
      </c>
    </row>
    <row r="130" spans="1:4" x14ac:dyDescent="0.25">
      <c r="A130">
        <v>126</v>
      </c>
      <c r="B130">
        <v>175.67178000000001</v>
      </c>
      <c r="C130">
        <v>193.56085999999999</v>
      </c>
      <c r="D130">
        <v>208.97457</v>
      </c>
    </row>
    <row r="131" spans="1:4" x14ac:dyDescent="0.25">
      <c r="A131">
        <v>127</v>
      </c>
      <c r="B131">
        <v>178.05883</v>
      </c>
      <c r="C131">
        <v>202.45086000000001</v>
      </c>
      <c r="D131">
        <v>207.77253999999999</v>
      </c>
    </row>
    <row r="132" spans="1:4" x14ac:dyDescent="0.25">
      <c r="A132">
        <v>128</v>
      </c>
      <c r="B132">
        <v>159.01642000000001</v>
      </c>
      <c r="C132">
        <v>204.99880999999999</v>
      </c>
      <c r="D132">
        <v>210.27065999999999</v>
      </c>
    </row>
    <row r="133" spans="1:4" x14ac:dyDescent="0.25">
      <c r="A133">
        <v>129</v>
      </c>
      <c r="B133">
        <v>147.04174</v>
      </c>
      <c r="C133">
        <v>210.50793999999999</v>
      </c>
      <c r="D133">
        <v>204.52135000000001</v>
      </c>
    </row>
    <row r="134" spans="1:4" x14ac:dyDescent="0.25">
      <c r="A134">
        <v>130</v>
      </c>
      <c r="B134">
        <v>162.43662</v>
      </c>
      <c r="C134">
        <v>204.78987000000001</v>
      </c>
      <c r="D134">
        <v>201.87275</v>
      </c>
    </row>
    <row r="135" spans="1:4" x14ac:dyDescent="0.25">
      <c r="A135">
        <v>131</v>
      </c>
      <c r="B135">
        <v>171.45448999999999</v>
      </c>
      <c r="C135">
        <v>225.54004</v>
      </c>
      <c r="D135">
        <v>179.16665</v>
      </c>
    </row>
    <row r="136" spans="1:4" x14ac:dyDescent="0.25">
      <c r="A136">
        <v>132</v>
      </c>
      <c r="B136">
        <v>173.59442999999999</v>
      </c>
      <c r="C136">
        <v>177.00944999999999</v>
      </c>
      <c r="D136">
        <v>132.31677999999999</v>
      </c>
    </row>
    <row r="137" spans="1:4" x14ac:dyDescent="0.25">
      <c r="A137">
        <v>133</v>
      </c>
      <c r="B137">
        <v>178.45017999999999</v>
      </c>
      <c r="C137">
        <v>100.61709</v>
      </c>
      <c r="D137">
        <v>150.91463999999999</v>
      </c>
    </row>
    <row r="138" spans="1:4" x14ac:dyDescent="0.25">
      <c r="A138">
        <v>134</v>
      </c>
      <c r="B138">
        <v>158.13585</v>
      </c>
      <c r="C138">
        <v>71.905190000000005</v>
      </c>
      <c r="D138">
        <v>176.65628000000001</v>
      </c>
    </row>
    <row r="139" spans="1:4" x14ac:dyDescent="0.25">
      <c r="A139">
        <v>135</v>
      </c>
      <c r="B139">
        <v>134.93498</v>
      </c>
      <c r="C139">
        <v>133.11525</v>
      </c>
      <c r="D139">
        <v>215.18314000000001</v>
      </c>
    </row>
    <row r="140" spans="1:4" x14ac:dyDescent="0.25">
      <c r="A140">
        <v>136</v>
      </c>
      <c r="B140">
        <v>138.75223</v>
      </c>
      <c r="C140">
        <v>178.03563</v>
      </c>
      <c r="D140">
        <v>235.03013999999999</v>
      </c>
    </row>
    <row r="141" spans="1:4" x14ac:dyDescent="0.25">
      <c r="A141">
        <v>137</v>
      </c>
      <c r="B141">
        <v>128.34814</v>
      </c>
      <c r="C141">
        <v>186.53398999999999</v>
      </c>
      <c r="D141">
        <v>229.81684000000001</v>
      </c>
    </row>
    <row r="142" spans="1:4" x14ac:dyDescent="0.25">
      <c r="A142">
        <v>138</v>
      </c>
      <c r="B142">
        <v>165.18577999999999</v>
      </c>
      <c r="C142">
        <v>204.32362000000001</v>
      </c>
      <c r="D142">
        <v>224.05597</v>
      </c>
    </row>
    <row r="143" spans="1:4" x14ac:dyDescent="0.25">
      <c r="A143">
        <v>139</v>
      </c>
      <c r="B143">
        <v>188.09180000000001</v>
      </c>
      <c r="C143">
        <v>214.53617</v>
      </c>
      <c r="D143">
        <v>236.84048999999999</v>
      </c>
    </row>
    <row r="144" spans="1:4" x14ac:dyDescent="0.25">
      <c r="A144">
        <v>140</v>
      </c>
      <c r="B144">
        <v>188.62753000000001</v>
      </c>
      <c r="C144">
        <v>209.81402</v>
      </c>
      <c r="D144">
        <v>238.32729</v>
      </c>
    </row>
    <row r="145" spans="1:4" x14ac:dyDescent="0.25">
      <c r="A145">
        <v>141</v>
      </c>
      <c r="B145">
        <v>194.95527999999999</v>
      </c>
      <c r="C145">
        <v>217.69553999999999</v>
      </c>
      <c r="D145">
        <v>236.00480999999999</v>
      </c>
    </row>
    <row r="146" spans="1:4" x14ac:dyDescent="0.25">
      <c r="A146">
        <v>142</v>
      </c>
      <c r="B146">
        <v>195.45734999999999</v>
      </c>
      <c r="C146">
        <v>230.89186000000001</v>
      </c>
      <c r="D146">
        <v>248.16649000000001</v>
      </c>
    </row>
    <row r="147" spans="1:4" x14ac:dyDescent="0.25">
      <c r="A147">
        <v>143</v>
      </c>
      <c r="B147">
        <v>170.19604000000001</v>
      </c>
      <c r="C147">
        <v>224.18908999999999</v>
      </c>
      <c r="D147">
        <v>260.59460999999999</v>
      </c>
    </row>
    <row r="148" spans="1:4" x14ac:dyDescent="0.25">
      <c r="A148">
        <v>144</v>
      </c>
      <c r="B148">
        <v>208.22084000000001</v>
      </c>
      <c r="C148">
        <v>229.90742</v>
      </c>
      <c r="D148">
        <v>236.82507000000001</v>
      </c>
    </row>
    <row r="149" spans="1:4" x14ac:dyDescent="0.25">
      <c r="A149">
        <v>145</v>
      </c>
      <c r="B149">
        <v>154.57988</v>
      </c>
      <c r="C149">
        <v>244.00767999999999</v>
      </c>
      <c r="D149">
        <v>230.98648</v>
      </c>
    </row>
    <row r="150" spans="1:4" x14ac:dyDescent="0.25">
      <c r="A150">
        <v>146</v>
      </c>
      <c r="B150">
        <v>163.71651</v>
      </c>
      <c r="C150">
        <v>190.48580999999999</v>
      </c>
      <c r="D150">
        <v>232.58878999999999</v>
      </c>
    </row>
    <row r="151" spans="1:4" x14ac:dyDescent="0.25">
      <c r="A151">
        <v>147</v>
      </c>
      <c r="B151">
        <v>166.59031999999999</v>
      </c>
      <c r="C151">
        <v>186.96315000000001</v>
      </c>
      <c r="D151">
        <v>241.87416999999999</v>
      </c>
    </row>
    <row r="152" spans="1:4" x14ac:dyDescent="0.25">
      <c r="A152">
        <v>148</v>
      </c>
      <c r="B152">
        <v>166.63006999999999</v>
      </c>
      <c r="C152">
        <v>197.72191000000001</v>
      </c>
      <c r="D152">
        <v>221.55839</v>
      </c>
    </row>
    <row r="153" spans="1:4" x14ac:dyDescent="0.25">
      <c r="A153">
        <v>149</v>
      </c>
      <c r="B153">
        <v>162.47114999999999</v>
      </c>
      <c r="C153">
        <v>188.96636000000001</v>
      </c>
      <c r="D153">
        <v>219.40235999999999</v>
      </c>
    </row>
    <row r="154" spans="1:4" x14ac:dyDescent="0.25">
      <c r="A154">
        <v>150</v>
      </c>
      <c r="B154">
        <v>175.34811999999999</v>
      </c>
      <c r="C154">
        <v>196.72227000000001</v>
      </c>
      <c r="D154">
        <v>218.24044000000001</v>
      </c>
    </row>
    <row r="155" spans="1:4" x14ac:dyDescent="0.25">
      <c r="A155">
        <v>151</v>
      </c>
      <c r="B155">
        <v>194.93474000000001</v>
      </c>
      <c r="C155">
        <v>228.17920000000001</v>
      </c>
      <c r="D155">
        <v>209.51969</v>
      </c>
    </row>
    <row r="156" spans="1:4" x14ac:dyDescent="0.25">
      <c r="A156">
        <v>152</v>
      </c>
      <c r="B156">
        <v>196.48432</v>
      </c>
      <c r="C156">
        <v>219.25799000000001</v>
      </c>
      <c r="D156">
        <v>225.13772</v>
      </c>
    </row>
    <row r="157" spans="1:4" x14ac:dyDescent="0.25">
      <c r="A157">
        <v>153</v>
      </c>
      <c r="B157">
        <v>199.27157</v>
      </c>
      <c r="C157">
        <v>226.65236999999999</v>
      </c>
      <c r="D157">
        <v>211.16247000000001</v>
      </c>
    </row>
    <row r="158" spans="1:4" x14ac:dyDescent="0.25">
      <c r="A158">
        <v>154</v>
      </c>
      <c r="B158">
        <v>180.46572</v>
      </c>
      <c r="C158">
        <v>215.14268999999999</v>
      </c>
      <c r="D158">
        <v>214.12098</v>
      </c>
    </row>
    <row r="159" spans="1:4" x14ac:dyDescent="0.25">
      <c r="A159">
        <v>155</v>
      </c>
      <c r="B159">
        <v>151.93438</v>
      </c>
      <c r="C159">
        <v>209.90486000000001</v>
      </c>
      <c r="D159">
        <v>215.61596</v>
      </c>
    </row>
    <row r="160" spans="1:4" x14ac:dyDescent="0.25">
      <c r="A160">
        <v>156</v>
      </c>
      <c r="B160">
        <v>138.63732999999999</v>
      </c>
      <c r="C160">
        <v>209.14860999999999</v>
      </c>
      <c r="D160">
        <v>209.68741</v>
      </c>
    </row>
    <row r="161" spans="1:4" x14ac:dyDescent="0.25">
      <c r="A161">
        <v>157</v>
      </c>
      <c r="B161">
        <v>180.47209000000001</v>
      </c>
      <c r="C161">
        <v>216.77632</v>
      </c>
      <c r="D161">
        <v>217.21659</v>
      </c>
    </row>
    <row r="162" spans="1:4" x14ac:dyDescent="0.25">
      <c r="A162">
        <v>158</v>
      </c>
      <c r="B162">
        <v>201.85557</v>
      </c>
      <c r="C162">
        <v>229.48871</v>
      </c>
      <c r="D162">
        <v>155.67272</v>
      </c>
    </row>
    <row r="163" spans="1:4" x14ac:dyDescent="0.25">
      <c r="A163">
        <v>159</v>
      </c>
      <c r="B163">
        <v>183.44855999999999</v>
      </c>
      <c r="C163">
        <v>139.15645000000001</v>
      </c>
      <c r="D163">
        <v>113.54907</v>
      </c>
    </row>
    <row r="164" spans="1:4" x14ac:dyDescent="0.25">
      <c r="A164">
        <v>160</v>
      </c>
      <c r="B164">
        <v>146.31947</v>
      </c>
      <c r="C164">
        <v>101.765</v>
      </c>
      <c r="D164">
        <v>173.40747999999999</v>
      </c>
    </row>
    <row r="165" spans="1:4" x14ac:dyDescent="0.25">
      <c r="A165">
        <v>161</v>
      </c>
      <c r="B165">
        <v>166.40755999999999</v>
      </c>
      <c r="C165">
        <v>139.77325999999999</v>
      </c>
      <c r="D165">
        <v>211.29727</v>
      </c>
    </row>
    <row r="166" spans="1:4" x14ac:dyDescent="0.25">
      <c r="A166">
        <v>162</v>
      </c>
      <c r="B166">
        <v>138.5069</v>
      </c>
      <c r="C166">
        <v>164.84985</v>
      </c>
      <c r="D166">
        <v>214.54888</v>
      </c>
    </row>
    <row r="167" spans="1:4" x14ac:dyDescent="0.25">
      <c r="A167">
        <v>163</v>
      </c>
      <c r="B167">
        <v>120.89812999999999</v>
      </c>
      <c r="C167">
        <v>179.13288</v>
      </c>
      <c r="D167">
        <v>213.30358000000001</v>
      </c>
    </row>
    <row r="168" spans="1:4" x14ac:dyDescent="0.25">
      <c r="A168">
        <v>164</v>
      </c>
      <c r="B168">
        <v>140.78979000000001</v>
      </c>
      <c r="C168">
        <v>198.37406999999999</v>
      </c>
      <c r="D168">
        <v>227.52748</v>
      </c>
    </row>
    <row r="169" spans="1:4" x14ac:dyDescent="0.25">
      <c r="A169">
        <v>165</v>
      </c>
      <c r="B169">
        <v>161.73159999999999</v>
      </c>
      <c r="C169">
        <v>210.08322000000001</v>
      </c>
      <c r="D169">
        <v>253.00941</v>
      </c>
    </row>
    <row r="170" spans="1:4" x14ac:dyDescent="0.25">
      <c r="A170">
        <v>166</v>
      </c>
      <c r="B170">
        <v>193.53841</v>
      </c>
      <c r="C170">
        <v>218.43746999999999</v>
      </c>
      <c r="D170">
        <v>262.52188000000001</v>
      </c>
    </row>
    <row r="171" spans="1:4" x14ac:dyDescent="0.25">
      <c r="A171">
        <v>167</v>
      </c>
      <c r="B171">
        <v>186.02350000000001</v>
      </c>
      <c r="C171">
        <v>229.25400999999999</v>
      </c>
      <c r="D171">
        <v>236.8356</v>
      </c>
    </row>
    <row r="172" spans="1:4" x14ac:dyDescent="0.25">
      <c r="A172">
        <v>168</v>
      </c>
      <c r="B172">
        <v>173.20005</v>
      </c>
      <c r="C172">
        <v>231.54194000000001</v>
      </c>
      <c r="D172">
        <v>237.45366999999999</v>
      </c>
    </row>
    <row r="173" spans="1:4" x14ac:dyDescent="0.25">
      <c r="A173">
        <v>169</v>
      </c>
      <c r="B173">
        <v>199.83078</v>
      </c>
      <c r="C173">
        <v>241.86702</v>
      </c>
      <c r="D173">
        <v>247.47121999999999</v>
      </c>
    </row>
    <row r="174" spans="1:4" x14ac:dyDescent="0.25">
      <c r="A174">
        <v>170</v>
      </c>
      <c r="B174">
        <v>200.64964000000001</v>
      </c>
      <c r="C174">
        <v>254.44486000000001</v>
      </c>
      <c r="D174">
        <v>264.40044</v>
      </c>
    </row>
    <row r="175" spans="1:4" x14ac:dyDescent="0.25">
      <c r="A175">
        <v>171</v>
      </c>
      <c r="B175">
        <v>176.78916000000001</v>
      </c>
      <c r="C175">
        <v>236.58002999999999</v>
      </c>
      <c r="D175">
        <v>233.48657</v>
      </c>
    </row>
    <row r="176" spans="1:4" x14ac:dyDescent="0.25">
      <c r="A176">
        <v>172</v>
      </c>
      <c r="B176">
        <v>165.3289</v>
      </c>
      <c r="C176">
        <v>240.37315000000001</v>
      </c>
      <c r="D176">
        <v>231.52879999999999</v>
      </c>
    </row>
    <row r="177" spans="1:4" x14ac:dyDescent="0.25">
      <c r="A177">
        <v>173</v>
      </c>
      <c r="B177">
        <v>158.47626</v>
      </c>
      <c r="C177">
        <v>254.30384000000001</v>
      </c>
      <c r="D177">
        <v>235.96988999999999</v>
      </c>
    </row>
    <row r="178" spans="1:4" x14ac:dyDescent="0.25">
      <c r="A178">
        <v>174</v>
      </c>
      <c r="B178">
        <v>159.48258000000001</v>
      </c>
      <c r="C178">
        <v>250.16672</v>
      </c>
      <c r="D178">
        <v>228.59698</v>
      </c>
    </row>
    <row r="179" spans="1:4" x14ac:dyDescent="0.25">
      <c r="A179">
        <v>175</v>
      </c>
      <c r="B179">
        <v>156.51668000000001</v>
      </c>
      <c r="C179">
        <v>227.65042</v>
      </c>
      <c r="D179">
        <v>231.34243000000001</v>
      </c>
    </row>
    <row r="180" spans="1:4" x14ac:dyDescent="0.25">
      <c r="A180">
        <v>176</v>
      </c>
      <c r="B180">
        <v>164.85087999999999</v>
      </c>
      <c r="C180">
        <v>238.17801</v>
      </c>
      <c r="D180">
        <v>243.95367999999999</v>
      </c>
    </row>
    <row r="181" spans="1:4" x14ac:dyDescent="0.25">
      <c r="A181">
        <v>177</v>
      </c>
      <c r="B181">
        <v>161.35588000000001</v>
      </c>
      <c r="C181">
        <v>236.54181</v>
      </c>
      <c r="D181">
        <v>230.22014999999999</v>
      </c>
    </row>
    <row r="182" spans="1:4" x14ac:dyDescent="0.25">
      <c r="A182">
        <v>178</v>
      </c>
      <c r="B182">
        <v>152.33520999999999</v>
      </c>
      <c r="C182">
        <v>207.22255999999999</v>
      </c>
      <c r="D182">
        <v>228.20841999999999</v>
      </c>
    </row>
    <row r="183" spans="1:4" x14ac:dyDescent="0.25">
      <c r="A183">
        <v>179</v>
      </c>
      <c r="B183">
        <v>155.69345000000001</v>
      </c>
      <c r="C183">
        <v>215.5641</v>
      </c>
      <c r="D183">
        <v>213.44317000000001</v>
      </c>
    </row>
    <row r="184" spans="1:4" x14ac:dyDescent="0.25">
      <c r="A184">
        <v>180</v>
      </c>
      <c r="B184">
        <v>154.23684</v>
      </c>
      <c r="C184">
        <v>206.83768000000001</v>
      </c>
      <c r="D184">
        <v>217.74333999999999</v>
      </c>
    </row>
    <row r="185" spans="1:4" x14ac:dyDescent="0.25">
      <c r="A185">
        <v>181</v>
      </c>
      <c r="B185">
        <v>147.79570000000001</v>
      </c>
      <c r="C185">
        <v>185.23678000000001</v>
      </c>
      <c r="D185">
        <v>229.26490999999999</v>
      </c>
    </row>
    <row r="186" spans="1:4" x14ac:dyDescent="0.25">
      <c r="A186">
        <v>182</v>
      </c>
      <c r="B186">
        <v>156.15035</v>
      </c>
      <c r="C186">
        <v>186.96851000000001</v>
      </c>
      <c r="D186">
        <v>225.91941</v>
      </c>
    </row>
    <row r="187" spans="1:4" x14ac:dyDescent="0.25">
      <c r="A187">
        <v>183</v>
      </c>
      <c r="B187">
        <v>149.49831</v>
      </c>
      <c r="C187">
        <v>197.40244000000001</v>
      </c>
      <c r="D187">
        <v>217.17111</v>
      </c>
    </row>
    <row r="188" spans="1:4" x14ac:dyDescent="0.25">
      <c r="A188">
        <v>184</v>
      </c>
      <c r="B188">
        <v>157.30340000000001</v>
      </c>
      <c r="C188">
        <v>201.702</v>
      </c>
      <c r="D188">
        <v>186.92558</v>
      </c>
    </row>
    <row r="189" spans="1:4" x14ac:dyDescent="0.25">
      <c r="A189">
        <v>185</v>
      </c>
      <c r="B189">
        <v>176.78709000000001</v>
      </c>
      <c r="C189">
        <v>167.16292999999999</v>
      </c>
      <c r="D189">
        <v>200.21975</v>
      </c>
    </row>
    <row r="190" spans="1:4" x14ac:dyDescent="0.25">
      <c r="A190">
        <v>186</v>
      </c>
      <c r="B190">
        <v>200.32043999999999</v>
      </c>
      <c r="C190">
        <v>108.31389</v>
      </c>
      <c r="D190">
        <v>255.64931000000001</v>
      </c>
    </row>
    <row r="191" spans="1:4" x14ac:dyDescent="0.25">
      <c r="A191">
        <v>187</v>
      </c>
      <c r="B191">
        <v>191.28783999999999</v>
      </c>
      <c r="C191">
        <v>123.10075999999999</v>
      </c>
      <c r="D191">
        <v>243.68514999999999</v>
      </c>
    </row>
    <row r="192" spans="1:4" x14ac:dyDescent="0.25">
      <c r="A192">
        <v>188</v>
      </c>
      <c r="B192">
        <v>185.00287</v>
      </c>
      <c r="C192">
        <v>200.98681999999999</v>
      </c>
      <c r="D192">
        <v>270.36511999999999</v>
      </c>
    </row>
    <row r="193" spans="1:4" x14ac:dyDescent="0.25">
      <c r="A193">
        <v>189</v>
      </c>
      <c r="B193">
        <v>166.65266</v>
      </c>
      <c r="C193">
        <v>230.52896000000001</v>
      </c>
      <c r="D193">
        <v>281.41791000000001</v>
      </c>
    </row>
    <row r="194" spans="1:4" x14ac:dyDescent="0.25">
      <c r="A194">
        <v>190</v>
      </c>
      <c r="B194">
        <v>138.38972999999999</v>
      </c>
      <c r="C194">
        <v>216.85420999999999</v>
      </c>
      <c r="D194">
        <v>274.23599000000002</v>
      </c>
    </row>
    <row r="195" spans="1:4" x14ac:dyDescent="0.25">
      <c r="A195">
        <v>191</v>
      </c>
      <c r="B195">
        <v>101.0018</v>
      </c>
      <c r="C195">
        <v>235.99115</v>
      </c>
      <c r="D195">
        <v>279.22647000000001</v>
      </c>
    </row>
    <row r="196" spans="1:4" x14ac:dyDescent="0.25">
      <c r="A196">
        <v>192</v>
      </c>
      <c r="B196">
        <v>108.89464</v>
      </c>
      <c r="C196">
        <v>246.08386999999999</v>
      </c>
      <c r="D196">
        <v>290.14134000000001</v>
      </c>
    </row>
    <row r="197" spans="1:4" x14ac:dyDescent="0.25">
      <c r="A197">
        <v>193</v>
      </c>
      <c r="B197">
        <v>131.31301999999999</v>
      </c>
      <c r="C197">
        <v>239.32337000000001</v>
      </c>
      <c r="D197">
        <v>286.02863000000002</v>
      </c>
    </row>
    <row r="198" spans="1:4" x14ac:dyDescent="0.25">
      <c r="A198">
        <v>194</v>
      </c>
      <c r="B198">
        <v>172.05812</v>
      </c>
      <c r="C198">
        <v>237.20334</v>
      </c>
      <c r="D198">
        <v>283.29460999999998</v>
      </c>
    </row>
    <row r="199" spans="1:4" x14ac:dyDescent="0.25">
      <c r="A199">
        <v>195</v>
      </c>
      <c r="B199">
        <v>189.4393</v>
      </c>
      <c r="C199">
        <v>235.73796999999999</v>
      </c>
      <c r="D199">
        <v>279.60460999999998</v>
      </c>
    </row>
    <row r="200" spans="1:4" x14ac:dyDescent="0.25">
      <c r="A200">
        <v>196</v>
      </c>
      <c r="B200">
        <v>179.87835000000001</v>
      </c>
      <c r="C200">
        <v>259.00563</v>
      </c>
      <c r="D200">
        <v>283.47962000000001</v>
      </c>
    </row>
    <row r="201" spans="1:4" x14ac:dyDescent="0.25">
      <c r="A201">
        <v>197</v>
      </c>
      <c r="B201">
        <v>182.44569999999999</v>
      </c>
      <c r="C201">
        <v>250.94337999999999</v>
      </c>
      <c r="D201">
        <v>286.16944000000001</v>
      </c>
    </row>
    <row r="202" spans="1:4" x14ac:dyDescent="0.25">
      <c r="A202">
        <v>198</v>
      </c>
      <c r="B202">
        <v>162.01078999999999</v>
      </c>
      <c r="C202">
        <v>259.41906999999998</v>
      </c>
      <c r="D202">
        <v>300.05471</v>
      </c>
    </row>
    <row r="203" spans="1:4" x14ac:dyDescent="0.25">
      <c r="A203">
        <v>199</v>
      </c>
      <c r="B203">
        <v>154.14811</v>
      </c>
      <c r="C203">
        <v>258.72732999999999</v>
      </c>
      <c r="D203">
        <v>289.65751</v>
      </c>
    </row>
    <row r="204" spans="1:4" x14ac:dyDescent="0.25">
      <c r="A204">
        <v>200</v>
      </c>
      <c r="B204">
        <v>167.50599</v>
      </c>
      <c r="C204">
        <v>246.41252</v>
      </c>
      <c r="D204">
        <v>269.46985999999998</v>
      </c>
    </row>
    <row r="205" spans="1:4" x14ac:dyDescent="0.25">
      <c r="A205">
        <v>201</v>
      </c>
      <c r="B205">
        <v>161.03721999999999</v>
      </c>
      <c r="C205">
        <v>211.39216999999999</v>
      </c>
      <c r="D205">
        <v>265.82510000000002</v>
      </c>
    </row>
    <row r="206" spans="1:4" x14ac:dyDescent="0.25">
      <c r="A206">
        <v>202</v>
      </c>
      <c r="B206">
        <v>151.91761</v>
      </c>
      <c r="C206">
        <v>180.24893</v>
      </c>
      <c r="D206">
        <v>279.41987</v>
      </c>
    </row>
    <row r="207" spans="1:4" x14ac:dyDescent="0.25">
      <c r="A207">
        <v>203</v>
      </c>
      <c r="B207">
        <v>194.59389999999999</v>
      </c>
      <c r="C207">
        <v>184.23094</v>
      </c>
      <c r="D207">
        <v>261.89283</v>
      </c>
    </row>
    <row r="208" spans="1:4" x14ac:dyDescent="0.25">
      <c r="A208">
        <v>204</v>
      </c>
      <c r="B208">
        <v>200.85692</v>
      </c>
      <c r="C208">
        <v>187.60810000000001</v>
      </c>
      <c r="D208">
        <v>259.29345999999998</v>
      </c>
    </row>
    <row r="209" spans="1:4" x14ac:dyDescent="0.25">
      <c r="A209">
        <v>205</v>
      </c>
      <c r="B209">
        <v>186.57518999999999</v>
      </c>
      <c r="C209">
        <v>196.16982999999999</v>
      </c>
      <c r="D209">
        <v>273.77789000000001</v>
      </c>
    </row>
    <row r="210" spans="1:4" x14ac:dyDescent="0.25">
      <c r="A210">
        <v>206</v>
      </c>
      <c r="B210">
        <v>194.79014000000001</v>
      </c>
      <c r="C210">
        <v>228.26392000000001</v>
      </c>
      <c r="D210">
        <v>260.83154000000002</v>
      </c>
    </row>
    <row r="211" spans="1:4" x14ac:dyDescent="0.25">
      <c r="A211">
        <v>207</v>
      </c>
      <c r="B211">
        <v>180.17202</v>
      </c>
      <c r="C211">
        <v>232.21645000000001</v>
      </c>
      <c r="D211">
        <v>246.42971</v>
      </c>
    </row>
    <row r="212" spans="1:4" x14ac:dyDescent="0.25">
      <c r="A212">
        <v>208</v>
      </c>
      <c r="B212">
        <v>181.17868000000001</v>
      </c>
      <c r="C212">
        <v>230.36248000000001</v>
      </c>
      <c r="D212">
        <v>255.37152</v>
      </c>
    </row>
    <row r="213" spans="1:4" x14ac:dyDescent="0.25">
      <c r="A213">
        <v>209</v>
      </c>
      <c r="B213">
        <v>175.81229999999999</v>
      </c>
      <c r="C213">
        <v>237.83664999999999</v>
      </c>
      <c r="D213">
        <v>237.74064000000001</v>
      </c>
    </row>
    <row r="214" spans="1:4" x14ac:dyDescent="0.25">
      <c r="A214">
        <v>210</v>
      </c>
      <c r="B214">
        <v>178.57209</v>
      </c>
      <c r="C214">
        <v>254.72714999999999</v>
      </c>
      <c r="D214">
        <v>188.41754</v>
      </c>
    </row>
    <row r="215" spans="1:4" x14ac:dyDescent="0.25">
      <c r="A215">
        <v>211</v>
      </c>
      <c r="B215">
        <v>165.61875000000001</v>
      </c>
      <c r="C215">
        <v>235.43961999999999</v>
      </c>
      <c r="D215">
        <v>174.28721999999999</v>
      </c>
    </row>
    <row r="216" spans="1:4" x14ac:dyDescent="0.25">
      <c r="A216">
        <v>212</v>
      </c>
      <c r="B216">
        <v>157.35584</v>
      </c>
      <c r="C216">
        <v>161.52831</v>
      </c>
      <c r="D216">
        <v>213.09505999999999</v>
      </c>
    </row>
    <row r="217" spans="1:4" x14ac:dyDescent="0.25">
      <c r="A217">
        <v>213</v>
      </c>
      <c r="B217">
        <v>156.98848000000001</v>
      </c>
      <c r="C217">
        <v>107.75331</v>
      </c>
      <c r="D217">
        <v>262.44868000000002</v>
      </c>
    </row>
    <row r="218" spans="1:4" x14ac:dyDescent="0.25">
      <c r="A218">
        <v>214</v>
      </c>
      <c r="B218">
        <v>150.80808999999999</v>
      </c>
      <c r="C218">
        <v>139.33669</v>
      </c>
      <c r="D218">
        <v>274.27837</v>
      </c>
    </row>
    <row r="219" spans="1:4" x14ac:dyDescent="0.25">
      <c r="A219">
        <v>215</v>
      </c>
      <c r="B219">
        <v>140.46878000000001</v>
      </c>
      <c r="C219">
        <v>191.52063000000001</v>
      </c>
      <c r="D219">
        <v>273.41762</v>
      </c>
    </row>
    <row r="220" spans="1:4" x14ac:dyDescent="0.25">
      <c r="A220">
        <v>216</v>
      </c>
      <c r="B220">
        <v>143.38775000000001</v>
      </c>
      <c r="C220">
        <v>197.58851000000001</v>
      </c>
      <c r="D220">
        <v>262.30959000000001</v>
      </c>
    </row>
    <row r="221" spans="1:4" x14ac:dyDescent="0.25">
      <c r="A221">
        <v>217</v>
      </c>
      <c r="B221">
        <v>155.55194</v>
      </c>
      <c r="C221">
        <v>189.71145999999999</v>
      </c>
      <c r="D221">
        <v>272.69891999999999</v>
      </c>
    </row>
    <row r="222" spans="1:4" x14ac:dyDescent="0.25">
      <c r="A222">
        <v>218</v>
      </c>
      <c r="B222">
        <v>128.08859000000001</v>
      </c>
      <c r="C222">
        <v>184.51219</v>
      </c>
      <c r="D222">
        <v>279.58202999999997</v>
      </c>
    </row>
    <row r="223" spans="1:4" x14ac:dyDescent="0.25">
      <c r="A223">
        <v>219</v>
      </c>
      <c r="B223">
        <v>102.42762999999999</v>
      </c>
      <c r="C223">
        <v>195.63838999999999</v>
      </c>
      <c r="D223">
        <v>271.06081999999998</v>
      </c>
    </row>
    <row r="224" spans="1:4" x14ac:dyDescent="0.25">
      <c r="A224">
        <v>220</v>
      </c>
      <c r="B224">
        <v>163.95463000000001</v>
      </c>
      <c r="C224">
        <v>193.39866000000001</v>
      </c>
      <c r="D224">
        <v>272.85138999999998</v>
      </c>
    </row>
    <row r="225" spans="1:4" x14ac:dyDescent="0.25">
      <c r="A225">
        <v>221</v>
      </c>
      <c r="B225">
        <v>162.30696</v>
      </c>
      <c r="C225">
        <v>198.94866999999999</v>
      </c>
      <c r="D225">
        <v>276.62562000000003</v>
      </c>
    </row>
    <row r="226" spans="1:4" x14ac:dyDescent="0.25">
      <c r="A226">
        <v>222</v>
      </c>
      <c r="B226">
        <v>178.81063</v>
      </c>
      <c r="C226">
        <v>219.22166000000001</v>
      </c>
      <c r="D226">
        <v>273.58105</v>
      </c>
    </row>
    <row r="227" spans="1:4" x14ac:dyDescent="0.25">
      <c r="A227">
        <v>223</v>
      </c>
      <c r="B227">
        <v>175.04028</v>
      </c>
      <c r="C227">
        <v>249.69479000000001</v>
      </c>
      <c r="D227">
        <v>271.23147</v>
      </c>
    </row>
    <row r="228" spans="1:4" x14ac:dyDescent="0.25">
      <c r="A228">
        <v>224</v>
      </c>
      <c r="B228">
        <v>152.77940000000001</v>
      </c>
      <c r="C228">
        <v>256.56477999999998</v>
      </c>
      <c r="D228">
        <v>277.54108000000002</v>
      </c>
    </row>
    <row r="229" spans="1:4" x14ac:dyDescent="0.25">
      <c r="A229">
        <v>225</v>
      </c>
      <c r="B229">
        <v>204.59553</v>
      </c>
      <c r="C229">
        <v>247.08187000000001</v>
      </c>
      <c r="D229">
        <v>278.39121999999998</v>
      </c>
    </row>
    <row r="230" spans="1:4" x14ac:dyDescent="0.25">
      <c r="A230">
        <v>226</v>
      </c>
      <c r="B230">
        <v>206.27037000000001</v>
      </c>
      <c r="C230">
        <v>263.8424</v>
      </c>
      <c r="D230">
        <v>281.23802999999998</v>
      </c>
    </row>
    <row r="231" spans="1:4" x14ac:dyDescent="0.25">
      <c r="A231">
        <v>227</v>
      </c>
      <c r="B231">
        <v>190.51441</v>
      </c>
      <c r="C231">
        <v>262.87491999999997</v>
      </c>
      <c r="D231">
        <v>287.38943</v>
      </c>
    </row>
    <row r="232" spans="1:4" x14ac:dyDescent="0.25">
      <c r="A232">
        <v>228</v>
      </c>
      <c r="B232">
        <v>162.65431000000001</v>
      </c>
      <c r="C232">
        <v>244.57083</v>
      </c>
      <c r="D232">
        <v>288.97460000000001</v>
      </c>
    </row>
    <row r="233" spans="1:4" x14ac:dyDescent="0.25">
      <c r="A233">
        <v>229</v>
      </c>
      <c r="B233">
        <v>150.53943000000001</v>
      </c>
      <c r="C233">
        <v>237.08960999999999</v>
      </c>
      <c r="D233">
        <v>287.66924</v>
      </c>
    </row>
    <row r="234" spans="1:4" x14ac:dyDescent="0.25">
      <c r="A234">
        <v>230</v>
      </c>
      <c r="B234">
        <v>160.67646999999999</v>
      </c>
      <c r="C234">
        <v>222.90810999999999</v>
      </c>
      <c r="D234">
        <v>289.87585999999999</v>
      </c>
    </row>
    <row r="235" spans="1:4" x14ac:dyDescent="0.25">
      <c r="A235">
        <v>231</v>
      </c>
      <c r="B235">
        <v>172.93893</v>
      </c>
      <c r="C235">
        <v>253.91703999999999</v>
      </c>
      <c r="D235">
        <v>293.39152999999999</v>
      </c>
    </row>
    <row r="236" spans="1:4" x14ac:dyDescent="0.25">
      <c r="A236">
        <v>232</v>
      </c>
      <c r="B236">
        <v>179.51106999999999</v>
      </c>
      <c r="C236">
        <v>239.58996999999999</v>
      </c>
      <c r="D236">
        <v>296.99952999999999</v>
      </c>
    </row>
    <row r="237" spans="1:4" x14ac:dyDescent="0.25">
      <c r="A237">
        <v>233</v>
      </c>
      <c r="B237">
        <v>198.80074999999999</v>
      </c>
      <c r="C237">
        <v>213.26728</v>
      </c>
      <c r="D237">
        <v>290.54208</v>
      </c>
    </row>
    <row r="238" spans="1:4" x14ac:dyDescent="0.25">
      <c r="A238">
        <v>234</v>
      </c>
      <c r="B238">
        <v>204.0487</v>
      </c>
      <c r="C238">
        <v>228.30087</v>
      </c>
      <c r="D238">
        <v>288.76177000000001</v>
      </c>
    </row>
    <row r="239" spans="1:4" x14ac:dyDescent="0.25">
      <c r="A239">
        <v>235</v>
      </c>
      <c r="B239">
        <v>186.50085999999999</v>
      </c>
      <c r="C239">
        <v>233.86161000000001</v>
      </c>
      <c r="D239">
        <v>312.55063999999999</v>
      </c>
    </row>
    <row r="240" spans="1:4" x14ac:dyDescent="0.25">
      <c r="A240">
        <v>236</v>
      </c>
      <c r="B240">
        <v>172.37973</v>
      </c>
      <c r="C240">
        <v>231.64410000000001</v>
      </c>
      <c r="D240">
        <v>280.70645999999999</v>
      </c>
    </row>
    <row r="241" spans="1:4" x14ac:dyDescent="0.25">
      <c r="A241">
        <v>237</v>
      </c>
      <c r="B241">
        <v>178.92225999999999</v>
      </c>
      <c r="C241">
        <v>253.90246999999999</v>
      </c>
      <c r="D241">
        <v>168.75333000000001</v>
      </c>
    </row>
    <row r="242" spans="1:4" x14ac:dyDescent="0.25">
      <c r="A242">
        <v>238</v>
      </c>
      <c r="B242">
        <v>176.62923000000001</v>
      </c>
      <c r="C242">
        <v>194.80882</v>
      </c>
      <c r="D242">
        <v>174.71155999999999</v>
      </c>
    </row>
    <row r="243" spans="1:4" x14ac:dyDescent="0.25">
      <c r="A243">
        <v>239</v>
      </c>
      <c r="B243">
        <v>166.816</v>
      </c>
      <c r="C243">
        <v>137.71186</v>
      </c>
      <c r="D243">
        <v>254.60436000000001</v>
      </c>
    </row>
    <row r="244" spans="1:4" x14ac:dyDescent="0.25">
      <c r="A244">
        <v>240</v>
      </c>
      <c r="B244">
        <v>152.68468999999999</v>
      </c>
      <c r="C244">
        <v>171.21602999999999</v>
      </c>
      <c r="D244">
        <v>278.50474000000003</v>
      </c>
    </row>
    <row r="245" spans="1:4" x14ac:dyDescent="0.25">
      <c r="A245">
        <v>241</v>
      </c>
      <c r="B245">
        <v>150.32671999999999</v>
      </c>
      <c r="C245">
        <v>237.05087</v>
      </c>
      <c r="D245">
        <v>251.49860000000001</v>
      </c>
    </row>
    <row r="246" spans="1:4" x14ac:dyDescent="0.25">
      <c r="A246">
        <v>242</v>
      </c>
      <c r="B246">
        <v>155.26709</v>
      </c>
      <c r="C246">
        <v>226.82957999999999</v>
      </c>
      <c r="D246">
        <v>265.32711999999998</v>
      </c>
    </row>
    <row r="247" spans="1:4" x14ac:dyDescent="0.25">
      <c r="A247">
        <v>243</v>
      </c>
      <c r="B247">
        <v>154.64669000000001</v>
      </c>
      <c r="C247">
        <v>244.67048</v>
      </c>
      <c r="D247">
        <v>277.60987999999998</v>
      </c>
    </row>
    <row r="248" spans="1:4" x14ac:dyDescent="0.25">
      <c r="A248">
        <v>244</v>
      </c>
      <c r="B248">
        <v>167.96171000000001</v>
      </c>
      <c r="C248">
        <v>249.33285000000001</v>
      </c>
      <c r="D248">
        <v>291.70618999999999</v>
      </c>
    </row>
    <row r="249" spans="1:4" x14ac:dyDescent="0.25">
      <c r="A249">
        <v>245</v>
      </c>
      <c r="B249">
        <v>106.09275</v>
      </c>
      <c r="C249">
        <v>231.66550000000001</v>
      </c>
      <c r="D249">
        <v>292.76141999999999</v>
      </c>
    </row>
    <row r="250" spans="1:4" x14ac:dyDescent="0.25">
      <c r="A250">
        <v>246</v>
      </c>
      <c r="B250">
        <v>107.18738</v>
      </c>
      <c r="C250">
        <v>246.62245999999999</v>
      </c>
      <c r="D250">
        <v>279.47901000000002</v>
      </c>
    </row>
    <row r="251" spans="1:4" x14ac:dyDescent="0.25">
      <c r="A251">
        <v>247</v>
      </c>
      <c r="B251">
        <v>155.09223</v>
      </c>
      <c r="C251">
        <v>262.59708999999998</v>
      </c>
      <c r="D251">
        <v>277.87162999999998</v>
      </c>
    </row>
    <row r="252" spans="1:4" x14ac:dyDescent="0.25">
      <c r="A252">
        <v>248</v>
      </c>
      <c r="B252">
        <v>190.37174999999999</v>
      </c>
      <c r="C252">
        <v>250.86061000000001</v>
      </c>
      <c r="D252">
        <v>271.25653</v>
      </c>
    </row>
    <row r="253" spans="1:4" x14ac:dyDescent="0.25">
      <c r="A253">
        <v>249</v>
      </c>
      <c r="B253">
        <v>172.43514999999999</v>
      </c>
      <c r="C253">
        <v>271.47296999999998</v>
      </c>
      <c r="D253">
        <v>280.90314000000001</v>
      </c>
    </row>
    <row r="254" spans="1:4" x14ac:dyDescent="0.25">
      <c r="A254">
        <v>250</v>
      </c>
      <c r="B254">
        <v>194.37986000000001</v>
      </c>
      <c r="C254">
        <v>252.36741000000001</v>
      </c>
      <c r="D254">
        <v>281.73442</v>
      </c>
    </row>
    <row r="255" spans="1:4" x14ac:dyDescent="0.25">
      <c r="A255">
        <v>251</v>
      </c>
      <c r="B255">
        <v>187.81663</v>
      </c>
      <c r="C255">
        <v>236.77133000000001</v>
      </c>
      <c r="D255">
        <v>272.07317</v>
      </c>
    </row>
    <row r="256" spans="1:4" x14ac:dyDescent="0.25">
      <c r="A256">
        <v>252</v>
      </c>
      <c r="B256">
        <v>190.83372</v>
      </c>
      <c r="C256">
        <v>245.49309</v>
      </c>
      <c r="D256">
        <v>270.43105000000003</v>
      </c>
    </row>
    <row r="257" spans="1:4" x14ac:dyDescent="0.25">
      <c r="A257">
        <v>253</v>
      </c>
      <c r="B257">
        <v>189.18772999999999</v>
      </c>
      <c r="C257">
        <v>261.56743</v>
      </c>
      <c r="D257">
        <v>275.6748</v>
      </c>
    </row>
    <row r="258" spans="1:4" x14ac:dyDescent="0.25">
      <c r="A258">
        <v>254</v>
      </c>
      <c r="B258">
        <v>213.86013</v>
      </c>
      <c r="C258">
        <v>253.29707999999999</v>
      </c>
      <c r="D258">
        <v>285.26668000000001</v>
      </c>
    </row>
    <row r="259" spans="1:4" x14ac:dyDescent="0.25">
      <c r="A259">
        <v>255</v>
      </c>
      <c r="B259">
        <v>194.09635</v>
      </c>
      <c r="C259">
        <v>239.65209999999999</v>
      </c>
      <c r="D259">
        <v>280.93322999999998</v>
      </c>
    </row>
    <row r="260" spans="1:4" x14ac:dyDescent="0.25">
      <c r="A260">
        <v>256</v>
      </c>
      <c r="B260">
        <v>193.06482</v>
      </c>
      <c r="C260">
        <v>244.82605000000001</v>
      </c>
      <c r="D260">
        <v>268.24002999999999</v>
      </c>
    </row>
    <row r="261" spans="1:4" x14ac:dyDescent="0.25">
      <c r="A261">
        <v>257</v>
      </c>
      <c r="B261">
        <v>186.15896000000001</v>
      </c>
      <c r="C261">
        <v>227.67299</v>
      </c>
      <c r="D261">
        <v>286.92813000000001</v>
      </c>
    </row>
    <row r="262" spans="1:4" x14ac:dyDescent="0.25">
      <c r="A262">
        <v>258</v>
      </c>
      <c r="B262">
        <v>201.29750000000001</v>
      </c>
      <c r="C262">
        <v>227.77509000000001</v>
      </c>
      <c r="D262">
        <v>282.77629999999999</v>
      </c>
    </row>
    <row r="263" spans="1:4" x14ac:dyDescent="0.25">
      <c r="A263">
        <v>259</v>
      </c>
      <c r="B263">
        <v>203.39333999999999</v>
      </c>
      <c r="C263">
        <v>229.3339</v>
      </c>
      <c r="D263">
        <v>279.45510000000002</v>
      </c>
    </row>
    <row r="264" spans="1:4" x14ac:dyDescent="0.25">
      <c r="A264">
        <v>260</v>
      </c>
      <c r="B264">
        <v>180.88458</v>
      </c>
      <c r="C264">
        <v>230.85777999999999</v>
      </c>
      <c r="D264">
        <v>266.31502999999998</v>
      </c>
    </row>
    <row r="265" spans="1:4" x14ac:dyDescent="0.25">
      <c r="A265">
        <v>261</v>
      </c>
      <c r="B265">
        <v>198.38766000000001</v>
      </c>
      <c r="C265">
        <v>228.58686</v>
      </c>
      <c r="D265">
        <v>271.02809999999999</v>
      </c>
    </row>
    <row r="266" spans="1:4" x14ac:dyDescent="0.25">
      <c r="A266">
        <v>262</v>
      </c>
      <c r="B266">
        <v>203.61440999999999</v>
      </c>
      <c r="C266">
        <v>229.43203</v>
      </c>
      <c r="D266">
        <v>259.34178000000003</v>
      </c>
    </row>
    <row r="267" spans="1:4" x14ac:dyDescent="0.25">
      <c r="A267">
        <v>263</v>
      </c>
      <c r="B267">
        <v>195.52348000000001</v>
      </c>
      <c r="C267">
        <v>232.23811000000001</v>
      </c>
      <c r="D267">
        <v>204.01658</v>
      </c>
    </row>
    <row r="268" spans="1:4" x14ac:dyDescent="0.25">
      <c r="A268">
        <v>264</v>
      </c>
      <c r="B268">
        <v>181.99199999999999</v>
      </c>
      <c r="C268">
        <v>218.12546</v>
      </c>
      <c r="D268">
        <v>170.73004</v>
      </c>
    </row>
    <row r="269" spans="1:4" x14ac:dyDescent="0.25">
      <c r="A269">
        <v>265</v>
      </c>
      <c r="B269">
        <v>141.86371</v>
      </c>
      <c r="C269">
        <v>153.59807000000001</v>
      </c>
      <c r="D269">
        <v>232.38154</v>
      </c>
    </row>
    <row r="270" spans="1:4" x14ac:dyDescent="0.25">
      <c r="A270">
        <v>266</v>
      </c>
      <c r="B270">
        <v>101.10874</v>
      </c>
      <c r="C270">
        <v>133.22900000000001</v>
      </c>
      <c r="D270">
        <v>271.28586999999999</v>
      </c>
    </row>
    <row r="271" spans="1:4" x14ac:dyDescent="0.25">
      <c r="A271">
        <v>267</v>
      </c>
      <c r="B271">
        <v>84.683030000000002</v>
      </c>
      <c r="C271">
        <v>191.25273999999999</v>
      </c>
      <c r="D271">
        <v>259.38936999999999</v>
      </c>
    </row>
    <row r="272" spans="1:4" x14ac:dyDescent="0.25">
      <c r="A272">
        <v>268</v>
      </c>
      <c r="B272">
        <v>172.80368000000001</v>
      </c>
      <c r="C272">
        <v>259.06374</v>
      </c>
      <c r="D272">
        <v>244.72457</v>
      </c>
    </row>
    <row r="273" spans="1:4" x14ac:dyDescent="0.25">
      <c r="A273">
        <v>269</v>
      </c>
      <c r="B273">
        <v>166.62134</v>
      </c>
      <c r="C273">
        <v>259.38511999999997</v>
      </c>
      <c r="D273">
        <v>271.17162999999999</v>
      </c>
    </row>
    <row r="274" spans="1:4" x14ac:dyDescent="0.25">
      <c r="A274">
        <v>270</v>
      </c>
      <c r="B274">
        <v>154.60599999999999</v>
      </c>
      <c r="C274">
        <v>237.35596000000001</v>
      </c>
      <c r="D274">
        <v>270.68184000000002</v>
      </c>
    </row>
    <row r="275" spans="1:4" x14ac:dyDescent="0.25">
      <c r="A275">
        <v>271</v>
      </c>
      <c r="B275">
        <v>181.33027000000001</v>
      </c>
      <c r="C275">
        <v>248.43579</v>
      </c>
      <c r="D275">
        <v>269.66291999999999</v>
      </c>
    </row>
    <row r="276" spans="1:4" x14ac:dyDescent="0.25">
      <c r="A276">
        <v>272</v>
      </c>
      <c r="B276">
        <v>148.73685</v>
      </c>
      <c r="C276">
        <v>254.82485</v>
      </c>
      <c r="D276">
        <v>266.22102000000001</v>
      </c>
    </row>
    <row r="277" spans="1:4" x14ac:dyDescent="0.25">
      <c r="A277">
        <v>273</v>
      </c>
      <c r="B277">
        <v>146.56870000000001</v>
      </c>
      <c r="C277">
        <v>263.47314</v>
      </c>
      <c r="D277">
        <v>270.43196999999998</v>
      </c>
    </row>
    <row r="278" spans="1:4" x14ac:dyDescent="0.25">
      <c r="A278">
        <v>274</v>
      </c>
      <c r="B278">
        <v>156.96453</v>
      </c>
      <c r="C278">
        <v>261.69042999999999</v>
      </c>
      <c r="D278">
        <v>276.57002</v>
      </c>
    </row>
    <row r="279" spans="1:4" x14ac:dyDescent="0.25">
      <c r="A279">
        <v>275</v>
      </c>
      <c r="B279">
        <v>180.12115</v>
      </c>
      <c r="C279">
        <v>270.60217</v>
      </c>
      <c r="D279">
        <v>276.21242999999998</v>
      </c>
    </row>
    <row r="280" spans="1:4" x14ac:dyDescent="0.25">
      <c r="A280">
        <v>276</v>
      </c>
      <c r="B280">
        <v>199.11849000000001</v>
      </c>
      <c r="C280">
        <v>266.88587999999999</v>
      </c>
      <c r="D280">
        <v>267.25393000000003</v>
      </c>
    </row>
    <row r="281" spans="1:4" x14ac:dyDescent="0.25">
      <c r="A281">
        <v>277</v>
      </c>
      <c r="B281">
        <v>201.87294</v>
      </c>
      <c r="C281">
        <v>267.03723000000002</v>
      </c>
      <c r="D281">
        <v>265.95907</v>
      </c>
    </row>
    <row r="282" spans="1:4" x14ac:dyDescent="0.25">
      <c r="A282">
        <v>278</v>
      </c>
      <c r="B282">
        <v>211.77843999999999</v>
      </c>
      <c r="C282">
        <v>265.20305000000002</v>
      </c>
      <c r="D282">
        <v>267.06936999999999</v>
      </c>
    </row>
    <row r="283" spans="1:4" x14ac:dyDescent="0.25">
      <c r="A283">
        <v>279</v>
      </c>
      <c r="B283">
        <v>207.98400000000001</v>
      </c>
      <c r="C283">
        <v>262.91910000000001</v>
      </c>
      <c r="D283">
        <v>254.90397999999999</v>
      </c>
    </row>
    <row r="284" spans="1:4" x14ac:dyDescent="0.25">
      <c r="A284">
        <v>280</v>
      </c>
      <c r="B284">
        <v>208.21805000000001</v>
      </c>
      <c r="C284">
        <v>258.88108</v>
      </c>
      <c r="D284">
        <v>205.05083999999999</v>
      </c>
    </row>
    <row r="285" spans="1:4" x14ac:dyDescent="0.25">
      <c r="A285">
        <v>281</v>
      </c>
      <c r="B285">
        <v>201.09029000000001</v>
      </c>
      <c r="C285">
        <v>250.94326000000001</v>
      </c>
      <c r="D285">
        <v>174.92726999999999</v>
      </c>
    </row>
    <row r="286" spans="1:4" x14ac:dyDescent="0.25">
      <c r="A286">
        <v>282</v>
      </c>
      <c r="B286">
        <v>201.10333</v>
      </c>
      <c r="C286">
        <v>241.92635000000001</v>
      </c>
      <c r="D286">
        <v>170.82073</v>
      </c>
    </row>
    <row r="287" spans="1:4" x14ac:dyDescent="0.25">
      <c r="A287">
        <v>283</v>
      </c>
      <c r="B287">
        <v>205.06732</v>
      </c>
      <c r="C287">
        <v>217.75412</v>
      </c>
      <c r="D287">
        <v>167.26674</v>
      </c>
    </row>
    <row r="288" spans="1:4" x14ac:dyDescent="0.25">
      <c r="A288">
        <v>284</v>
      </c>
      <c r="B288">
        <v>196.81305</v>
      </c>
      <c r="C288">
        <v>218.66379000000001</v>
      </c>
      <c r="D288">
        <v>173.49576999999999</v>
      </c>
    </row>
    <row r="289" spans="1:4" x14ac:dyDescent="0.25">
      <c r="A289">
        <v>285</v>
      </c>
      <c r="B289">
        <v>192.85343</v>
      </c>
      <c r="C289">
        <v>233.27095</v>
      </c>
      <c r="D289">
        <v>171.68575000000001</v>
      </c>
    </row>
    <row r="290" spans="1:4" x14ac:dyDescent="0.25">
      <c r="A290">
        <v>286</v>
      </c>
      <c r="B290">
        <v>212.19363999999999</v>
      </c>
      <c r="C290">
        <v>229.23260999999999</v>
      </c>
      <c r="D290">
        <v>157.76264</v>
      </c>
    </row>
    <row r="291" spans="1:4" x14ac:dyDescent="0.25">
      <c r="A291">
        <v>287</v>
      </c>
      <c r="B291">
        <v>193.49126000000001</v>
      </c>
      <c r="C291">
        <v>237.76784000000001</v>
      </c>
      <c r="D291">
        <v>162.63451000000001</v>
      </c>
    </row>
    <row r="292" spans="1:4" x14ac:dyDescent="0.25">
      <c r="A292">
        <v>288</v>
      </c>
      <c r="B292">
        <v>188.70169000000001</v>
      </c>
      <c r="C292">
        <v>236.78976</v>
      </c>
      <c r="D292">
        <v>136.35441</v>
      </c>
    </row>
    <row r="293" spans="1:4" x14ac:dyDescent="0.25">
      <c r="A293">
        <v>289</v>
      </c>
      <c r="B293">
        <v>225.57465999999999</v>
      </c>
      <c r="C293">
        <v>229.46143000000001</v>
      </c>
      <c r="D293">
        <v>116.64455</v>
      </c>
    </row>
    <row r="294" spans="1:4" x14ac:dyDescent="0.25">
      <c r="A294">
        <v>290</v>
      </c>
      <c r="B294">
        <v>202.63665</v>
      </c>
      <c r="C294">
        <v>216.05343999999999</v>
      </c>
      <c r="D294">
        <v>144.78242</v>
      </c>
    </row>
    <row r="295" spans="1:4" x14ac:dyDescent="0.25">
      <c r="A295">
        <v>291</v>
      </c>
      <c r="B295">
        <v>193.38980000000001</v>
      </c>
      <c r="C295">
        <v>156.62011999999999</v>
      </c>
      <c r="D295">
        <v>154.45284000000001</v>
      </c>
    </row>
    <row r="296" spans="1:4" x14ac:dyDescent="0.25">
      <c r="A296">
        <v>292</v>
      </c>
      <c r="B296">
        <v>181.88827000000001</v>
      </c>
      <c r="C296">
        <v>146.38989000000001</v>
      </c>
      <c r="D296">
        <v>156.98833999999999</v>
      </c>
    </row>
    <row r="297" spans="1:4" x14ac:dyDescent="0.25">
      <c r="A297">
        <v>293</v>
      </c>
      <c r="B297">
        <v>178.21006</v>
      </c>
      <c r="C297">
        <v>212.05318</v>
      </c>
      <c r="D297">
        <v>155.81601000000001</v>
      </c>
    </row>
    <row r="298" spans="1:4" x14ac:dyDescent="0.25">
      <c r="A298">
        <v>294</v>
      </c>
      <c r="B298">
        <v>184.31934999999999</v>
      </c>
      <c r="C298">
        <v>248.96010000000001</v>
      </c>
      <c r="D298">
        <v>155.04548</v>
      </c>
    </row>
    <row r="299" spans="1:4" x14ac:dyDescent="0.25">
      <c r="A299">
        <v>295</v>
      </c>
      <c r="B299">
        <v>172.42438999999999</v>
      </c>
      <c r="C299">
        <v>254.846</v>
      </c>
      <c r="D299">
        <v>156.18657999999999</v>
      </c>
    </row>
    <row r="300" spans="1:4" x14ac:dyDescent="0.25">
      <c r="A300">
        <v>296</v>
      </c>
      <c r="B300">
        <v>150.01333</v>
      </c>
      <c r="C300">
        <v>241.99467999999999</v>
      </c>
      <c r="D300">
        <v>155.14886000000001</v>
      </c>
    </row>
    <row r="301" spans="1:4" x14ac:dyDescent="0.25">
      <c r="A301">
        <v>297</v>
      </c>
      <c r="B301">
        <v>140.32246000000001</v>
      </c>
      <c r="C301">
        <v>238.00794999999999</v>
      </c>
      <c r="D301">
        <v>145.76492999999999</v>
      </c>
    </row>
    <row r="302" spans="1:4" x14ac:dyDescent="0.25">
      <c r="A302">
        <v>298</v>
      </c>
      <c r="B302">
        <v>152.33055999999999</v>
      </c>
      <c r="C302">
        <v>256.77370999999999</v>
      </c>
      <c r="D302">
        <v>150.28908999999999</v>
      </c>
    </row>
    <row r="303" spans="1:4" x14ac:dyDescent="0.25">
      <c r="A303">
        <v>299</v>
      </c>
      <c r="B303">
        <v>160.82768999999999</v>
      </c>
      <c r="C303">
        <v>270.17660000000001</v>
      </c>
      <c r="D303">
        <v>154.55672999999999</v>
      </c>
    </row>
    <row r="304" spans="1:4" x14ac:dyDescent="0.25">
      <c r="A304">
        <v>300</v>
      </c>
      <c r="B304">
        <v>206.81</v>
      </c>
      <c r="C304">
        <v>293.5</v>
      </c>
      <c r="D304">
        <v>306.51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zoomScaleNormal="100" workbookViewId="0"/>
  </sheetViews>
  <sheetFormatPr defaultColWidth="8.7109375" defaultRowHeight="15" x14ac:dyDescent="0.25"/>
  <cols>
    <col min="1" max="7" width="20" customWidth="1"/>
  </cols>
  <sheetData>
    <row r="1" spans="1:7" ht="16.5" x14ac:dyDescent="0.25">
      <c r="A1" s="1" t="s">
        <v>35</v>
      </c>
    </row>
    <row r="3" spans="1:7" x14ac:dyDescent="0.25">
      <c r="A3" s="3" t="s">
        <v>36</v>
      </c>
    </row>
    <row r="4" spans="1:7" x14ac:dyDescent="0.25">
      <c r="A4" s="4" t="s">
        <v>37</v>
      </c>
      <c r="B4" s="4" t="s">
        <v>38</v>
      </c>
      <c r="C4" s="4" t="s">
        <v>39</v>
      </c>
      <c r="D4" s="4" t="s">
        <v>40</v>
      </c>
      <c r="E4" s="4" t="s">
        <v>41</v>
      </c>
    </row>
    <row r="5" spans="1:7" x14ac:dyDescent="0.25">
      <c r="A5" t="s">
        <v>32</v>
      </c>
      <c r="B5">
        <f>COUNT(Upload_RawData!B5:B304)</f>
        <v>300</v>
      </c>
      <c r="C5" s="5">
        <f>SUM(Upload_RawData!B5:B304)</f>
        <v>51762.466889999996</v>
      </c>
      <c r="D5" s="5">
        <f>AVERAGE(Upload_RawData!B5:B304)</f>
        <v>172.5415563</v>
      </c>
      <c r="E5" s="5">
        <f>_xlfn.VAR.S(Upload_RawData!B5:B304)</f>
        <v>696.97286840451</v>
      </c>
    </row>
    <row r="6" spans="1:7" x14ac:dyDescent="0.25">
      <c r="A6" t="s">
        <v>33</v>
      </c>
      <c r="B6">
        <f>COUNT(Upload_RawData!C5:C304)</f>
        <v>300</v>
      </c>
      <c r="C6" s="5">
        <f>SUM(Upload_RawData!C5:C304)</f>
        <v>64920.926390000008</v>
      </c>
      <c r="D6" s="5">
        <f>AVERAGE(Upload_RawData!C5:C304)</f>
        <v>216.4030879666667</v>
      </c>
      <c r="E6" s="5">
        <f>_xlfn.VAR.S(Upload_RawData!C5:C304)</f>
        <v>1368.302380347207</v>
      </c>
    </row>
    <row r="7" spans="1:7" x14ac:dyDescent="0.25">
      <c r="A7" t="s">
        <v>34</v>
      </c>
      <c r="B7">
        <f>COUNT(Upload_RawData!D5:D304)</f>
        <v>300</v>
      </c>
      <c r="C7" s="5">
        <f>SUM(Upload_RawData!D5:D304)</f>
        <v>70741.622879999995</v>
      </c>
      <c r="D7" s="5">
        <f>AVERAGE(Upload_RawData!D5:D304)</f>
        <v>235.80540959999999</v>
      </c>
      <c r="E7" s="5">
        <f>_xlfn.VAR.S(Upload_RawData!D5:D304)</f>
        <v>1739.5467486334871</v>
      </c>
    </row>
    <row r="9" spans="1:7" x14ac:dyDescent="0.25">
      <c r="A9" s="3" t="s">
        <v>42</v>
      </c>
    </row>
    <row r="10" spans="1:7" x14ac:dyDescent="0.25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</row>
    <row r="11" spans="1:7" x14ac:dyDescent="0.25">
      <c r="A11" t="s">
        <v>50</v>
      </c>
      <c r="B11" s="5">
        <f>B5*(D5-((C5+C6+C7)/(B5+B6+B7)))^2+B6*(D6-((C5+C6+C7)/(B5+B6+B7)))^2+B7*(D7-((C5+C6+C7)/(B5+B6+B7)))^2</f>
        <v>630259.91792732396</v>
      </c>
      <c r="C11">
        <v>2</v>
      </c>
      <c r="D11" s="5">
        <f>B11/C11</f>
        <v>315129.95896366198</v>
      </c>
      <c r="E11" s="6">
        <f>D11/D12</f>
        <v>248.47151260707813</v>
      </c>
      <c r="F11" s="7">
        <f>_xlfn.F.DIST.RT(E11,C11,C12)</f>
        <v>1.3599339584339562E-86</v>
      </c>
      <c r="G11" s="6">
        <f>_xlfn.F.INV.RT(0.05,C11,C12)</f>
        <v>3.0057595050333341</v>
      </c>
    </row>
    <row r="12" spans="1:7" x14ac:dyDescent="0.25">
      <c r="A12" t="s">
        <v>51</v>
      </c>
      <c r="B12" s="5">
        <f>(B5-1)*E5+(B6-1)*E6+(B7-1)*E7</f>
        <v>1137641.7772181761</v>
      </c>
      <c r="C12">
        <f>(B5+B6+B7)-3</f>
        <v>897</v>
      </c>
      <c r="D12" s="5">
        <f>B12/C12</f>
        <v>1268.2739991284013</v>
      </c>
    </row>
    <row r="13" spans="1:7" x14ac:dyDescent="0.25">
      <c r="A13" t="s">
        <v>52</v>
      </c>
      <c r="B13" s="5">
        <f>B11+B12</f>
        <v>1767901.6951454999</v>
      </c>
      <c r="C13">
        <f>(B5+B6+B7)-1</f>
        <v>899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D5E9-1B9F-4CF9-B270-2338EC2F1813}">
  <dimension ref="A1:G15"/>
  <sheetViews>
    <sheetView tabSelected="1" workbookViewId="0">
      <selection sqref="A1:G15"/>
    </sheetView>
  </sheetViews>
  <sheetFormatPr defaultRowHeight="15" x14ac:dyDescent="0.25"/>
  <cols>
    <col min="1" max="1" width="15.5703125" customWidth="1"/>
    <col min="2" max="2" width="15.28515625" customWidth="1"/>
    <col min="3" max="3" width="11.42578125" customWidth="1"/>
    <col min="4" max="4" width="10.28515625" customWidth="1"/>
    <col min="5" max="5" width="16" customWidth="1"/>
  </cols>
  <sheetData>
    <row r="1" spans="1:7" x14ac:dyDescent="0.25">
      <c r="A1" s="23" t="s">
        <v>55</v>
      </c>
      <c r="B1" s="12"/>
      <c r="C1" s="12"/>
      <c r="D1" s="12"/>
      <c r="E1" s="12"/>
      <c r="F1" s="12"/>
      <c r="G1" s="13"/>
    </row>
    <row r="2" spans="1:7" ht="15.75" thickBot="1" x14ac:dyDescent="0.3">
      <c r="A2" s="14"/>
      <c r="B2" s="15"/>
      <c r="C2" s="15"/>
      <c r="D2" s="15"/>
      <c r="E2" s="15"/>
      <c r="F2" s="15"/>
      <c r="G2" s="16"/>
    </row>
    <row r="3" spans="1:7" ht="15.75" thickBot="1" x14ac:dyDescent="0.3">
      <c r="A3" s="24" t="s">
        <v>36</v>
      </c>
      <c r="B3" s="18"/>
      <c r="C3" s="18"/>
      <c r="D3" s="18"/>
      <c r="E3" s="18"/>
      <c r="F3" s="18"/>
      <c r="G3" s="19"/>
    </row>
    <row r="4" spans="1:7" ht="15.75" thickBot="1" x14ac:dyDescent="0.3">
      <c r="A4" s="9" t="s">
        <v>37</v>
      </c>
      <c r="B4" s="9" t="s">
        <v>38</v>
      </c>
      <c r="C4" s="9" t="s">
        <v>39</v>
      </c>
      <c r="D4" s="9" t="s">
        <v>40</v>
      </c>
      <c r="E4" s="9" t="s">
        <v>41</v>
      </c>
      <c r="F4" s="11"/>
      <c r="G4" s="13"/>
    </row>
    <row r="5" spans="1:7" ht="15.75" thickBot="1" x14ac:dyDescent="0.3">
      <c r="A5" s="10" t="s">
        <v>32</v>
      </c>
      <c r="B5" s="10">
        <v>300</v>
      </c>
      <c r="C5" s="10">
        <v>49147.453500000018</v>
      </c>
      <c r="D5" s="22">
        <v>163.82484500000007</v>
      </c>
      <c r="E5" s="22">
        <v>1514.0648143036558</v>
      </c>
      <c r="F5" s="20"/>
      <c r="G5" s="21"/>
    </row>
    <row r="6" spans="1:7" ht="15.75" thickBot="1" x14ac:dyDescent="0.3">
      <c r="A6" s="10" t="s">
        <v>33</v>
      </c>
      <c r="B6" s="10">
        <v>300</v>
      </c>
      <c r="C6" s="10">
        <v>17778.345310000008</v>
      </c>
      <c r="D6" s="22">
        <v>59.261151033333363</v>
      </c>
      <c r="E6" s="22">
        <v>2052.8758336664605</v>
      </c>
      <c r="F6" s="20"/>
      <c r="G6" s="21"/>
    </row>
    <row r="7" spans="1:7" ht="15.75" thickBot="1" x14ac:dyDescent="0.3">
      <c r="A7" s="10" t="s">
        <v>34</v>
      </c>
      <c r="B7" s="10">
        <v>300</v>
      </c>
      <c r="C7" s="10">
        <v>23964.14452999999</v>
      </c>
      <c r="D7" s="22">
        <v>79.880481766666634</v>
      </c>
      <c r="E7" s="22">
        <v>2769.5558198222161</v>
      </c>
      <c r="F7" s="20"/>
      <c r="G7" s="21"/>
    </row>
    <row r="8" spans="1:7" ht="15.75" thickBot="1" x14ac:dyDescent="0.3">
      <c r="A8" s="8"/>
      <c r="B8" s="8"/>
      <c r="C8" s="8"/>
      <c r="D8" s="8"/>
      <c r="E8" s="8"/>
      <c r="F8" s="25"/>
      <c r="G8" s="25"/>
    </row>
    <row r="9" spans="1:7" x14ac:dyDescent="0.25">
      <c r="A9" s="23" t="s">
        <v>42</v>
      </c>
      <c r="B9" s="12"/>
      <c r="C9" s="12"/>
      <c r="D9" s="12"/>
      <c r="E9" s="12"/>
      <c r="F9" s="25"/>
      <c r="G9" s="21"/>
    </row>
    <row r="10" spans="1:7" ht="15.75" thickBot="1" x14ac:dyDescent="0.3">
      <c r="A10" s="14"/>
      <c r="B10" s="15"/>
      <c r="C10" s="15"/>
      <c r="D10" s="15"/>
      <c r="E10" s="15"/>
      <c r="F10" s="15"/>
      <c r="G10" s="16"/>
    </row>
    <row r="11" spans="1:7" ht="15.75" thickBot="1" x14ac:dyDescent="0.3">
      <c r="A11" s="9" t="s">
        <v>43</v>
      </c>
      <c r="B11" s="9" t="s">
        <v>44</v>
      </c>
      <c r="C11" s="9" t="s">
        <v>45</v>
      </c>
      <c r="D11" s="9" t="s">
        <v>46</v>
      </c>
      <c r="E11" s="9" t="s">
        <v>47</v>
      </c>
      <c r="F11" s="9" t="s">
        <v>48</v>
      </c>
      <c r="G11" s="9" t="s">
        <v>49</v>
      </c>
    </row>
    <row r="12" spans="1:7" ht="15.75" thickBot="1" x14ac:dyDescent="0.3">
      <c r="A12" s="10" t="s">
        <v>50</v>
      </c>
      <c r="B12" s="10">
        <v>1840537.901449515</v>
      </c>
      <c r="C12" s="10">
        <v>2</v>
      </c>
      <c r="D12" s="22">
        <v>920268.95072475751</v>
      </c>
      <c r="E12" s="22">
        <v>435.69926476044191</v>
      </c>
      <c r="F12" s="10">
        <v>6.1336024812584666E-133</v>
      </c>
      <c r="G12" s="22">
        <v>3.0057595050333341</v>
      </c>
    </row>
    <row r="13" spans="1:7" ht="15.75" thickBot="1" x14ac:dyDescent="0.3">
      <c r="A13" s="10" t="s">
        <v>51</v>
      </c>
      <c r="B13" s="10">
        <v>1894612.4438699186</v>
      </c>
      <c r="C13" s="10">
        <v>897</v>
      </c>
      <c r="D13" s="22">
        <v>2112.1654892641232</v>
      </c>
      <c r="E13" s="22"/>
      <c r="F13" s="10"/>
      <c r="G13" s="22"/>
    </row>
    <row r="14" spans="1:7" ht="15.75" thickBot="1" x14ac:dyDescent="0.3">
      <c r="A14" s="10"/>
      <c r="B14" s="10"/>
      <c r="C14" s="10"/>
      <c r="D14" s="10"/>
      <c r="E14" s="10"/>
      <c r="F14" s="10"/>
      <c r="G14" s="10"/>
    </row>
    <row r="15" spans="1:7" ht="15.75" thickBot="1" x14ac:dyDescent="0.3">
      <c r="A15" s="8" t="s">
        <v>52</v>
      </c>
      <c r="B15" s="8">
        <v>3735150.3453194336</v>
      </c>
      <c r="C15" s="8">
        <v>899</v>
      </c>
      <c r="D15" s="8"/>
      <c r="E15" s="8"/>
      <c r="F15" s="8"/>
      <c r="G15" s="8"/>
    </row>
  </sheetData>
  <mergeCells count="5">
    <mergeCell ref="A9:G10"/>
    <mergeCell ref="F8:G8"/>
    <mergeCell ref="A1:G2"/>
    <mergeCell ref="A3:G3"/>
    <mergeCell ref="F4:G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4"/>
  <sheetViews>
    <sheetView topLeftCell="A285" zoomScaleNormal="100" workbookViewId="0"/>
  </sheetViews>
  <sheetFormatPr defaultColWidth="8.7109375" defaultRowHeight="15" x14ac:dyDescent="0.25"/>
  <cols>
    <col min="1" max="4" width="14" customWidth="1"/>
  </cols>
  <sheetData>
    <row r="1" spans="1:4" x14ac:dyDescent="0.25">
      <c r="A1" s="3" t="s">
        <v>53</v>
      </c>
    </row>
    <row r="2" spans="1:4" x14ac:dyDescent="0.25">
      <c r="A2" t="s">
        <v>30</v>
      </c>
    </row>
    <row r="4" spans="1:4" x14ac:dyDescent="0.25">
      <c r="A4" s="3" t="s">
        <v>31</v>
      </c>
      <c r="B4" s="4" t="s">
        <v>32</v>
      </c>
      <c r="C4" s="4" t="s">
        <v>33</v>
      </c>
      <c r="D4" s="4" t="s">
        <v>34</v>
      </c>
    </row>
    <row r="5" spans="1:4" x14ac:dyDescent="0.25">
      <c r="A5">
        <v>1</v>
      </c>
      <c r="B5">
        <v>95.21799</v>
      </c>
      <c r="C5">
        <v>67.662310000000005</v>
      </c>
      <c r="D5">
        <v>116.64105000000001</v>
      </c>
    </row>
    <row r="6" spans="1:4" x14ac:dyDescent="0.25">
      <c r="A6">
        <v>2</v>
      </c>
      <c r="B6">
        <v>192.59467000000001</v>
      </c>
      <c r="C6">
        <v>106.88370999999999</v>
      </c>
      <c r="D6">
        <v>173.75859</v>
      </c>
    </row>
    <row r="7" spans="1:4" x14ac:dyDescent="0.25">
      <c r="A7">
        <v>3</v>
      </c>
      <c r="B7">
        <v>150.00621000000001</v>
      </c>
      <c r="C7">
        <v>80.476690000000005</v>
      </c>
      <c r="D7">
        <v>183.49809999999999</v>
      </c>
    </row>
    <row r="8" spans="1:4" x14ac:dyDescent="0.25">
      <c r="A8">
        <v>4</v>
      </c>
      <c r="B8">
        <v>134.52932000000001</v>
      </c>
      <c r="C8">
        <v>51.169069999999998</v>
      </c>
      <c r="D8">
        <v>136.99968999999999</v>
      </c>
    </row>
    <row r="9" spans="1:4" x14ac:dyDescent="0.25">
      <c r="A9">
        <v>5</v>
      </c>
      <c r="B9">
        <v>148.12344999999999</v>
      </c>
      <c r="C9">
        <v>44.285719999999998</v>
      </c>
      <c r="D9">
        <v>124.56523</v>
      </c>
    </row>
    <row r="10" spans="1:4" x14ac:dyDescent="0.25">
      <c r="A10">
        <v>6</v>
      </c>
      <c r="B10">
        <v>133.61704</v>
      </c>
      <c r="C10">
        <v>46.146120000000003</v>
      </c>
      <c r="D10">
        <v>70.763509999999997</v>
      </c>
    </row>
    <row r="11" spans="1:4" x14ac:dyDescent="0.25">
      <c r="A11">
        <v>7</v>
      </c>
      <c r="B11">
        <v>132.42764</v>
      </c>
      <c r="C11">
        <v>40.674880000000002</v>
      </c>
      <c r="D11">
        <v>57.700119999999998</v>
      </c>
    </row>
    <row r="12" spans="1:4" x14ac:dyDescent="0.25">
      <c r="A12">
        <v>8</v>
      </c>
      <c r="B12">
        <v>135.88834</v>
      </c>
      <c r="C12">
        <v>46.208060000000003</v>
      </c>
      <c r="D12">
        <v>56.06541</v>
      </c>
    </row>
    <row r="13" spans="1:4" x14ac:dyDescent="0.25">
      <c r="A13">
        <v>9</v>
      </c>
      <c r="B13">
        <v>144.57144</v>
      </c>
      <c r="C13">
        <v>44.109499999999997</v>
      </c>
      <c r="D13">
        <v>58.741750000000003</v>
      </c>
    </row>
    <row r="14" spans="1:4" x14ac:dyDescent="0.25">
      <c r="A14">
        <v>10</v>
      </c>
      <c r="B14">
        <v>159.29934</v>
      </c>
      <c r="C14">
        <v>44.012479999999996</v>
      </c>
      <c r="D14">
        <v>76.917119999999997</v>
      </c>
    </row>
    <row r="15" spans="1:4" x14ac:dyDescent="0.25">
      <c r="A15">
        <v>11</v>
      </c>
      <c r="B15">
        <v>156.57862</v>
      </c>
      <c r="C15">
        <v>42.212330000000001</v>
      </c>
      <c r="D15">
        <v>82.757760000000005</v>
      </c>
    </row>
    <row r="16" spans="1:4" x14ac:dyDescent="0.25">
      <c r="A16">
        <v>12</v>
      </c>
      <c r="B16">
        <v>152.04288</v>
      </c>
      <c r="C16">
        <v>38.181449999999998</v>
      </c>
      <c r="D16">
        <v>91.80977</v>
      </c>
    </row>
    <row r="17" spans="1:4" x14ac:dyDescent="0.25">
      <c r="A17">
        <v>13</v>
      </c>
      <c r="B17">
        <v>150.97026</v>
      </c>
      <c r="C17">
        <v>35.553260000000002</v>
      </c>
      <c r="D17">
        <v>86.534760000000006</v>
      </c>
    </row>
    <row r="18" spans="1:4" x14ac:dyDescent="0.25">
      <c r="A18">
        <v>14</v>
      </c>
      <c r="B18">
        <v>166.45480000000001</v>
      </c>
      <c r="C18">
        <v>35.376440000000002</v>
      </c>
      <c r="D18">
        <v>85.886669999999995</v>
      </c>
    </row>
    <row r="19" spans="1:4" x14ac:dyDescent="0.25">
      <c r="A19">
        <v>15</v>
      </c>
      <c r="B19">
        <v>167.09456</v>
      </c>
      <c r="C19">
        <v>45.103870000000001</v>
      </c>
      <c r="D19">
        <v>96.362170000000006</v>
      </c>
    </row>
    <row r="20" spans="1:4" x14ac:dyDescent="0.25">
      <c r="A20">
        <v>16</v>
      </c>
      <c r="B20">
        <v>164.45490000000001</v>
      </c>
      <c r="C20">
        <v>58.081060000000001</v>
      </c>
      <c r="D20">
        <v>104.06459</v>
      </c>
    </row>
    <row r="21" spans="1:4" x14ac:dyDescent="0.25">
      <c r="A21">
        <v>17</v>
      </c>
      <c r="B21">
        <v>182.4171</v>
      </c>
      <c r="C21">
        <v>68.471140000000005</v>
      </c>
      <c r="D21">
        <v>98.706460000000007</v>
      </c>
    </row>
    <row r="22" spans="1:4" x14ac:dyDescent="0.25">
      <c r="A22">
        <v>18</v>
      </c>
      <c r="B22">
        <v>167.03831</v>
      </c>
      <c r="C22">
        <v>81.657020000000003</v>
      </c>
      <c r="D22">
        <v>104.47016000000001</v>
      </c>
    </row>
    <row r="23" spans="1:4" x14ac:dyDescent="0.25">
      <c r="A23">
        <v>19</v>
      </c>
      <c r="B23">
        <v>175.68361999999999</v>
      </c>
      <c r="C23">
        <v>87.006050000000002</v>
      </c>
      <c r="D23">
        <v>110.746</v>
      </c>
    </row>
    <row r="24" spans="1:4" x14ac:dyDescent="0.25">
      <c r="A24">
        <v>20</v>
      </c>
      <c r="B24">
        <v>194.46172999999999</v>
      </c>
      <c r="C24">
        <v>82.266620000000003</v>
      </c>
      <c r="D24">
        <v>104.54291000000001</v>
      </c>
    </row>
    <row r="25" spans="1:4" x14ac:dyDescent="0.25">
      <c r="A25">
        <v>21</v>
      </c>
      <c r="B25">
        <v>173.44754</v>
      </c>
      <c r="C25">
        <v>85.783000000000001</v>
      </c>
      <c r="D25">
        <v>102.77127</v>
      </c>
    </row>
    <row r="26" spans="1:4" x14ac:dyDescent="0.25">
      <c r="A26">
        <v>22</v>
      </c>
      <c r="B26">
        <v>169.48828</v>
      </c>
      <c r="C26">
        <v>93.808760000000007</v>
      </c>
      <c r="D26">
        <v>107.80641</v>
      </c>
    </row>
    <row r="27" spans="1:4" x14ac:dyDescent="0.25">
      <c r="A27">
        <v>23</v>
      </c>
      <c r="B27">
        <v>180.15855999999999</v>
      </c>
      <c r="C27">
        <v>99.206320000000005</v>
      </c>
      <c r="D27">
        <v>95.366829999999993</v>
      </c>
    </row>
    <row r="28" spans="1:4" x14ac:dyDescent="0.25">
      <c r="A28">
        <v>24</v>
      </c>
      <c r="B28">
        <v>191.76632000000001</v>
      </c>
      <c r="C28">
        <v>91.02328</v>
      </c>
      <c r="D28">
        <v>96.512979999999999</v>
      </c>
    </row>
    <row r="29" spans="1:4" x14ac:dyDescent="0.25">
      <c r="A29">
        <v>25</v>
      </c>
      <c r="B29">
        <v>202.97235000000001</v>
      </c>
      <c r="C29">
        <v>92.392430000000004</v>
      </c>
      <c r="D29">
        <v>110.10621999999999</v>
      </c>
    </row>
    <row r="30" spans="1:4" x14ac:dyDescent="0.25">
      <c r="A30">
        <v>26</v>
      </c>
      <c r="B30">
        <v>345.48889000000003</v>
      </c>
      <c r="C30">
        <v>132.63441</v>
      </c>
      <c r="D30">
        <v>193.44774000000001</v>
      </c>
    </row>
    <row r="31" spans="1:4" x14ac:dyDescent="0.25">
      <c r="A31">
        <v>27</v>
      </c>
      <c r="B31">
        <v>330.32135</v>
      </c>
      <c r="C31">
        <v>113.4648</v>
      </c>
      <c r="D31">
        <v>272.98788000000002</v>
      </c>
    </row>
    <row r="32" spans="1:4" x14ac:dyDescent="0.25">
      <c r="A32">
        <v>28</v>
      </c>
      <c r="B32">
        <v>187.35441</v>
      </c>
      <c r="C32">
        <v>31.804079999999999</v>
      </c>
      <c r="D32">
        <v>147.25255000000001</v>
      </c>
    </row>
    <row r="33" spans="1:4" x14ac:dyDescent="0.25">
      <c r="A33">
        <v>29</v>
      </c>
      <c r="B33">
        <v>194.06281999999999</v>
      </c>
      <c r="C33">
        <v>17.709320000000002</v>
      </c>
      <c r="D33">
        <v>106.48128</v>
      </c>
    </row>
    <row r="34" spans="1:4" x14ac:dyDescent="0.25">
      <c r="A34">
        <v>30</v>
      </c>
      <c r="B34">
        <v>171.13659000000001</v>
      </c>
      <c r="C34">
        <v>17.71922</v>
      </c>
      <c r="D34">
        <v>101.27285000000001</v>
      </c>
    </row>
    <row r="35" spans="1:4" x14ac:dyDescent="0.25">
      <c r="A35">
        <v>31</v>
      </c>
      <c r="B35">
        <v>190.72901999999999</v>
      </c>
      <c r="C35">
        <v>17.547689999999999</v>
      </c>
      <c r="D35">
        <v>103.88187000000001</v>
      </c>
    </row>
    <row r="36" spans="1:4" x14ac:dyDescent="0.25">
      <c r="A36">
        <v>32</v>
      </c>
      <c r="B36">
        <v>169.94255000000001</v>
      </c>
      <c r="C36">
        <v>18.910589999999999</v>
      </c>
      <c r="D36">
        <v>89.191559999999996</v>
      </c>
    </row>
    <row r="37" spans="1:4" x14ac:dyDescent="0.25">
      <c r="A37">
        <v>33</v>
      </c>
      <c r="B37">
        <v>175.19292999999999</v>
      </c>
      <c r="C37">
        <v>12.22838</v>
      </c>
      <c r="D37">
        <v>72.764840000000007</v>
      </c>
    </row>
    <row r="38" spans="1:4" x14ac:dyDescent="0.25">
      <c r="A38">
        <v>34</v>
      </c>
      <c r="B38">
        <v>160.01631</v>
      </c>
      <c r="C38">
        <v>10.2317</v>
      </c>
      <c r="D38">
        <v>74.828239999999994</v>
      </c>
    </row>
    <row r="39" spans="1:4" x14ac:dyDescent="0.25">
      <c r="A39">
        <v>35</v>
      </c>
      <c r="B39">
        <v>184.92564999999999</v>
      </c>
      <c r="C39">
        <v>14.403090000000001</v>
      </c>
      <c r="D39">
        <v>138.0746</v>
      </c>
    </row>
    <row r="40" spans="1:4" x14ac:dyDescent="0.25">
      <c r="A40">
        <v>36</v>
      </c>
      <c r="B40">
        <v>177.99269000000001</v>
      </c>
      <c r="C40">
        <v>12.4734</v>
      </c>
      <c r="D40">
        <v>161.62468999999999</v>
      </c>
    </row>
    <row r="41" spans="1:4" x14ac:dyDescent="0.25">
      <c r="A41">
        <v>37</v>
      </c>
      <c r="B41">
        <v>180.47246000000001</v>
      </c>
      <c r="C41">
        <v>15.43774</v>
      </c>
      <c r="D41">
        <v>164.65503000000001</v>
      </c>
    </row>
    <row r="42" spans="1:4" x14ac:dyDescent="0.25">
      <c r="A42">
        <v>38</v>
      </c>
      <c r="B42">
        <v>190.54324</v>
      </c>
      <c r="C42">
        <v>13.352740000000001</v>
      </c>
      <c r="D42">
        <v>147.6876</v>
      </c>
    </row>
    <row r="43" spans="1:4" x14ac:dyDescent="0.25">
      <c r="A43">
        <v>39</v>
      </c>
      <c r="B43">
        <v>182.32549</v>
      </c>
      <c r="C43">
        <v>15.051270000000001</v>
      </c>
      <c r="D43">
        <v>138.25829999999999</v>
      </c>
    </row>
    <row r="44" spans="1:4" x14ac:dyDescent="0.25">
      <c r="A44">
        <v>40</v>
      </c>
      <c r="B44">
        <v>186.47805</v>
      </c>
      <c r="C44">
        <v>14.954599999999999</v>
      </c>
      <c r="D44">
        <v>121.57082</v>
      </c>
    </row>
    <row r="45" spans="1:4" x14ac:dyDescent="0.25">
      <c r="A45">
        <v>41</v>
      </c>
      <c r="B45">
        <v>195.04875000000001</v>
      </c>
      <c r="C45">
        <v>12.258789999999999</v>
      </c>
      <c r="D45">
        <v>107.72753</v>
      </c>
    </row>
    <row r="46" spans="1:4" x14ac:dyDescent="0.25">
      <c r="A46">
        <v>42</v>
      </c>
      <c r="B46">
        <v>174.60918000000001</v>
      </c>
      <c r="C46">
        <v>14.619669999999999</v>
      </c>
      <c r="D46">
        <v>112.40127</v>
      </c>
    </row>
    <row r="47" spans="1:4" x14ac:dyDescent="0.25">
      <c r="A47">
        <v>43</v>
      </c>
      <c r="B47">
        <v>153.58104</v>
      </c>
      <c r="C47">
        <v>18.150870000000001</v>
      </c>
      <c r="D47">
        <v>108.83636</v>
      </c>
    </row>
    <row r="48" spans="1:4" x14ac:dyDescent="0.25">
      <c r="A48">
        <v>44</v>
      </c>
      <c r="B48">
        <v>210.16077000000001</v>
      </c>
      <c r="C48">
        <v>22.787240000000001</v>
      </c>
      <c r="D48">
        <v>91.022580000000005</v>
      </c>
    </row>
    <row r="49" spans="1:4" x14ac:dyDescent="0.25">
      <c r="A49">
        <v>45</v>
      </c>
      <c r="B49">
        <v>198.63390000000001</v>
      </c>
      <c r="C49">
        <v>22.35867</v>
      </c>
      <c r="D49">
        <v>72.211460000000002</v>
      </c>
    </row>
    <row r="50" spans="1:4" x14ac:dyDescent="0.25">
      <c r="A50">
        <v>46</v>
      </c>
      <c r="B50">
        <v>177.27937</v>
      </c>
      <c r="C50">
        <v>20.959230000000002</v>
      </c>
      <c r="D50">
        <v>63.30189</v>
      </c>
    </row>
    <row r="51" spans="1:4" x14ac:dyDescent="0.25">
      <c r="A51">
        <v>47</v>
      </c>
      <c r="B51">
        <v>169.42106999999999</v>
      </c>
      <c r="C51">
        <v>23.26416</v>
      </c>
      <c r="D51">
        <v>53.12256</v>
      </c>
    </row>
    <row r="52" spans="1:4" x14ac:dyDescent="0.25">
      <c r="A52">
        <v>48</v>
      </c>
      <c r="B52">
        <v>170.43487999999999</v>
      </c>
      <c r="C52">
        <v>30.264790000000001</v>
      </c>
      <c r="D52">
        <v>55.324359999999999</v>
      </c>
    </row>
    <row r="53" spans="1:4" x14ac:dyDescent="0.25">
      <c r="A53">
        <v>49</v>
      </c>
      <c r="B53">
        <v>177.12891999999999</v>
      </c>
      <c r="C53">
        <v>33.450189999999999</v>
      </c>
      <c r="D53">
        <v>46.420529999999999</v>
      </c>
    </row>
    <row r="54" spans="1:4" x14ac:dyDescent="0.25">
      <c r="A54">
        <v>50</v>
      </c>
      <c r="B54">
        <v>167.84934999999999</v>
      </c>
      <c r="C54">
        <v>36.29965</v>
      </c>
      <c r="D54">
        <v>46.31653</v>
      </c>
    </row>
    <row r="55" spans="1:4" x14ac:dyDescent="0.25">
      <c r="A55">
        <v>51</v>
      </c>
      <c r="B55">
        <v>167.95399</v>
      </c>
      <c r="C55">
        <v>24.056329999999999</v>
      </c>
      <c r="D55">
        <v>33.459710000000001</v>
      </c>
    </row>
    <row r="56" spans="1:4" x14ac:dyDescent="0.25">
      <c r="A56">
        <v>52</v>
      </c>
      <c r="B56">
        <v>163.63541000000001</v>
      </c>
      <c r="C56">
        <v>104.39424</v>
      </c>
      <c r="D56">
        <v>78.383260000000007</v>
      </c>
    </row>
    <row r="57" spans="1:4" x14ac:dyDescent="0.25">
      <c r="A57">
        <v>53</v>
      </c>
      <c r="B57">
        <v>252.20410999999999</v>
      </c>
      <c r="C57">
        <v>210.58690999999999</v>
      </c>
      <c r="D57">
        <v>221.49704</v>
      </c>
    </row>
    <row r="58" spans="1:4" x14ac:dyDescent="0.25">
      <c r="A58">
        <v>54</v>
      </c>
      <c r="B58">
        <v>269.17622</v>
      </c>
      <c r="C58">
        <v>79.525469999999999</v>
      </c>
      <c r="D58">
        <v>168.80095</v>
      </c>
    </row>
    <row r="59" spans="1:4" x14ac:dyDescent="0.25">
      <c r="A59">
        <v>55</v>
      </c>
      <c r="B59">
        <v>172.06810999999999</v>
      </c>
      <c r="C59">
        <v>39.910769999999999</v>
      </c>
      <c r="D59">
        <v>76.226200000000006</v>
      </c>
    </row>
    <row r="60" spans="1:4" x14ac:dyDescent="0.25">
      <c r="A60">
        <v>56</v>
      </c>
      <c r="B60">
        <v>144.3313</v>
      </c>
      <c r="C60">
        <v>39.705640000000002</v>
      </c>
      <c r="D60">
        <v>64.248109999999997</v>
      </c>
    </row>
    <row r="61" spans="1:4" x14ac:dyDescent="0.25">
      <c r="A61">
        <v>57</v>
      </c>
      <c r="B61">
        <v>151.55188000000001</v>
      </c>
      <c r="C61">
        <v>39.130450000000003</v>
      </c>
      <c r="D61">
        <v>62.556660000000001</v>
      </c>
    </row>
    <row r="62" spans="1:4" x14ac:dyDescent="0.25">
      <c r="A62">
        <v>58</v>
      </c>
      <c r="B62">
        <v>165.72989999999999</v>
      </c>
      <c r="C62">
        <v>29.76848</v>
      </c>
      <c r="D62">
        <v>54.309240000000003</v>
      </c>
    </row>
    <row r="63" spans="1:4" x14ac:dyDescent="0.25">
      <c r="A63">
        <v>59</v>
      </c>
      <c r="B63">
        <v>169.03388000000001</v>
      </c>
      <c r="C63">
        <v>28.014220000000002</v>
      </c>
      <c r="D63">
        <v>47.757429999999999</v>
      </c>
    </row>
    <row r="64" spans="1:4" x14ac:dyDescent="0.25">
      <c r="A64">
        <v>60</v>
      </c>
      <c r="B64">
        <v>159.78014999999999</v>
      </c>
      <c r="C64">
        <v>30.592089999999999</v>
      </c>
      <c r="D64">
        <v>48.238430000000001</v>
      </c>
    </row>
    <row r="65" spans="1:4" x14ac:dyDescent="0.25">
      <c r="A65">
        <v>61</v>
      </c>
      <c r="B65">
        <v>153.39939000000001</v>
      </c>
      <c r="C65">
        <v>26.675630000000002</v>
      </c>
      <c r="D65">
        <v>44.831440000000001</v>
      </c>
    </row>
    <row r="66" spans="1:4" x14ac:dyDescent="0.25">
      <c r="A66">
        <v>62</v>
      </c>
      <c r="B66">
        <v>155.71620999999999</v>
      </c>
      <c r="C66">
        <v>26.865110000000001</v>
      </c>
      <c r="D66">
        <v>44.813450000000003</v>
      </c>
    </row>
    <row r="67" spans="1:4" x14ac:dyDescent="0.25">
      <c r="A67">
        <v>63</v>
      </c>
      <c r="B67">
        <v>170.38582</v>
      </c>
      <c r="C67">
        <v>25.223369999999999</v>
      </c>
      <c r="D67">
        <v>44.162039999999998</v>
      </c>
    </row>
    <row r="68" spans="1:4" x14ac:dyDescent="0.25">
      <c r="A68">
        <v>64</v>
      </c>
      <c r="B68">
        <v>141.13754</v>
      </c>
      <c r="C68">
        <v>20.994700000000002</v>
      </c>
      <c r="D68">
        <v>49.904679999999999</v>
      </c>
    </row>
    <row r="69" spans="1:4" x14ac:dyDescent="0.25">
      <c r="A69">
        <v>65</v>
      </c>
      <c r="B69">
        <v>130.09667999999999</v>
      </c>
      <c r="C69">
        <v>16.443390000000001</v>
      </c>
      <c r="D69">
        <v>52.963340000000002</v>
      </c>
    </row>
    <row r="70" spans="1:4" x14ac:dyDescent="0.25">
      <c r="A70">
        <v>66</v>
      </c>
      <c r="B70">
        <v>156.66011</v>
      </c>
      <c r="C70">
        <v>15.11073</v>
      </c>
      <c r="D70">
        <v>54.868270000000003</v>
      </c>
    </row>
    <row r="71" spans="1:4" x14ac:dyDescent="0.25">
      <c r="A71">
        <v>67</v>
      </c>
      <c r="B71">
        <v>167.70872</v>
      </c>
      <c r="C71">
        <v>20.23714</v>
      </c>
      <c r="D71">
        <v>51.98921</v>
      </c>
    </row>
    <row r="72" spans="1:4" x14ac:dyDescent="0.25">
      <c r="A72">
        <v>68</v>
      </c>
      <c r="B72">
        <v>180.35885999999999</v>
      </c>
      <c r="C72">
        <v>18.043849999999999</v>
      </c>
      <c r="D72">
        <v>51.616019999999999</v>
      </c>
    </row>
    <row r="73" spans="1:4" x14ac:dyDescent="0.25">
      <c r="A73">
        <v>69</v>
      </c>
      <c r="B73">
        <v>138.12448000000001</v>
      </c>
      <c r="C73">
        <v>16.841629999999999</v>
      </c>
      <c r="D73">
        <v>42.427700000000002</v>
      </c>
    </row>
    <row r="74" spans="1:4" x14ac:dyDescent="0.25">
      <c r="A74">
        <v>70</v>
      </c>
      <c r="B74">
        <v>129.14493999999999</v>
      </c>
      <c r="C74">
        <v>18.94652</v>
      </c>
      <c r="D74">
        <v>42.72334</v>
      </c>
    </row>
    <row r="75" spans="1:4" x14ac:dyDescent="0.25">
      <c r="A75">
        <v>71</v>
      </c>
      <c r="B75">
        <v>175.66470000000001</v>
      </c>
      <c r="C75">
        <v>15.04116</v>
      </c>
      <c r="D75">
        <v>43.65184</v>
      </c>
    </row>
    <row r="76" spans="1:4" x14ac:dyDescent="0.25">
      <c r="A76">
        <v>72</v>
      </c>
      <c r="B76">
        <v>184.63356999999999</v>
      </c>
      <c r="C76">
        <v>14.93993</v>
      </c>
      <c r="D76">
        <v>39.30753</v>
      </c>
    </row>
    <row r="77" spans="1:4" x14ac:dyDescent="0.25">
      <c r="A77">
        <v>73</v>
      </c>
      <c r="B77">
        <v>187.62495000000001</v>
      </c>
      <c r="C77">
        <v>17.70729</v>
      </c>
      <c r="D77">
        <v>48.015439999999998</v>
      </c>
    </row>
    <row r="78" spans="1:4" x14ac:dyDescent="0.25">
      <c r="A78">
        <v>74</v>
      </c>
      <c r="B78">
        <v>163.70581999999999</v>
      </c>
      <c r="C78">
        <v>19.057320000000001</v>
      </c>
      <c r="D78">
        <v>44.912739999999999</v>
      </c>
    </row>
    <row r="79" spans="1:4" x14ac:dyDescent="0.25">
      <c r="A79">
        <v>75</v>
      </c>
      <c r="B79">
        <v>158.11263</v>
      </c>
      <c r="C79">
        <v>19.471430000000002</v>
      </c>
      <c r="D79">
        <v>42.229750000000003</v>
      </c>
    </row>
    <row r="80" spans="1:4" x14ac:dyDescent="0.25">
      <c r="A80">
        <v>76</v>
      </c>
      <c r="B80">
        <v>169.81491</v>
      </c>
      <c r="C80">
        <v>22.505520000000001</v>
      </c>
      <c r="D80">
        <v>44.52957</v>
      </c>
    </row>
    <row r="81" spans="1:4" x14ac:dyDescent="0.25">
      <c r="A81">
        <v>77</v>
      </c>
      <c r="B81">
        <v>180.84599</v>
      </c>
      <c r="C81">
        <v>14.55756</v>
      </c>
      <c r="D81">
        <v>38.497169999999997</v>
      </c>
    </row>
    <row r="82" spans="1:4" x14ac:dyDescent="0.25">
      <c r="A82">
        <v>78</v>
      </c>
      <c r="B82">
        <v>173.15441999999999</v>
      </c>
      <c r="C82">
        <v>13.49709</v>
      </c>
      <c r="D82">
        <v>32.7971</v>
      </c>
    </row>
    <row r="83" spans="1:4" x14ac:dyDescent="0.25">
      <c r="A83">
        <v>79</v>
      </c>
      <c r="B83">
        <v>160.73576</v>
      </c>
      <c r="C83">
        <v>218.34214</v>
      </c>
      <c r="D83">
        <v>136.73052000000001</v>
      </c>
    </row>
    <row r="84" spans="1:4" x14ac:dyDescent="0.25">
      <c r="A84">
        <v>80</v>
      </c>
      <c r="B84">
        <v>151.92869999999999</v>
      </c>
      <c r="C84">
        <v>160.11259000000001</v>
      </c>
      <c r="D84">
        <v>296.68585999999999</v>
      </c>
    </row>
    <row r="85" spans="1:4" x14ac:dyDescent="0.25">
      <c r="A85">
        <v>81</v>
      </c>
      <c r="B85">
        <v>309.18819999999999</v>
      </c>
      <c r="C85">
        <v>71.294439999999994</v>
      </c>
      <c r="D85">
        <v>141.27113</v>
      </c>
    </row>
    <row r="86" spans="1:4" x14ac:dyDescent="0.25">
      <c r="A86">
        <v>82</v>
      </c>
      <c r="B86">
        <v>276.94868000000002</v>
      </c>
      <c r="C86">
        <v>44.527520000000003</v>
      </c>
      <c r="D86">
        <v>81.361599999999996</v>
      </c>
    </row>
    <row r="87" spans="1:4" x14ac:dyDescent="0.25">
      <c r="A87">
        <v>83</v>
      </c>
      <c r="B87">
        <v>202.93367000000001</v>
      </c>
      <c r="C87">
        <v>42.707590000000003</v>
      </c>
      <c r="D87">
        <v>77.268619999999999</v>
      </c>
    </row>
    <row r="88" spans="1:4" x14ac:dyDescent="0.25">
      <c r="A88">
        <v>84</v>
      </c>
      <c r="B88">
        <v>151.40790000000001</v>
      </c>
      <c r="C88">
        <v>41.203339999999997</v>
      </c>
      <c r="D88">
        <v>72.609110000000001</v>
      </c>
    </row>
    <row r="89" spans="1:4" x14ac:dyDescent="0.25">
      <c r="A89">
        <v>85</v>
      </c>
      <c r="B89">
        <v>136.60082</v>
      </c>
      <c r="C89">
        <v>37.660220000000002</v>
      </c>
      <c r="D89">
        <v>59.936860000000003</v>
      </c>
    </row>
    <row r="90" spans="1:4" x14ac:dyDescent="0.25">
      <c r="A90">
        <v>86</v>
      </c>
      <c r="B90">
        <v>146.92590999999999</v>
      </c>
      <c r="C90">
        <v>32.136099999999999</v>
      </c>
      <c r="D90">
        <v>54.980939999999997</v>
      </c>
    </row>
    <row r="91" spans="1:4" x14ac:dyDescent="0.25">
      <c r="A91">
        <v>87</v>
      </c>
      <c r="B91">
        <v>150.95520999999999</v>
      </c>
      <c r="C91">
        <v>18.896799999999999</v>
      </c>
      <c r="D91">
        <v>49.137650000000001</v>
      </c>
    </row>
    <row r="92" spans="1:4" x14ac:dyDescent="0.25">
      <c r="A92">
        <v>88</v>
      </c>
      <c r="B92">
        <v>124.31975</v>
      </c>
      <c r="C92">
        <v>38.718690000000002</v>
      </c>
      <c r="D92">
        <v>59.387749999999997</v>
      </c>
    </row>
    <row r="93" spans="1:4" x14ac:dyDescent="0.25">
      <c r="A93">
        <v>89</v>
      </c>
      <c r="B93">
        <v>119.86153</v>
      </c>
      <c r="C93">
        <v>21.750019999999999</v>
      </c>
      <c r="D93">
        <v>44.599170000000001</v>
      </c>
    </row>
    <row r="94" spans="1:4" x14ac:dyDescent="0.25">
      <c r="A94">
        <v>90</v>
      </c>
      <c r="B94">
        <v>146.63634999999999</v>
      </c>
      <c r="C94">
        <v>20.14696</v>
      </c>
      <c r="D94">
        <v>51.173189999999998</v>
      </c>
    </row>
    <row r="95" spans="1:4" x14ac:dyDescent="0.25">
      <c r="A95">
        <v>91</v>
      </c>
      <c r="B95">
        <v>153.92811</v>
      </c>
      <c r="C95">
        <v>31.609110000000001</v>
      </c>
      <c r="D95">
        <v>41.373890000000003</v>
      </c>
    </row>
    <row r="96" spans="1:4" x14ac:dyDescent="0.25">
      <c r="A96">
        <v>92</v>
      </c>
      <c r="B96">
        <v>123.97178</v>
      </c>
      <c r="C96">
        <v>30.130420000000001</v>
      </c>
      <c r="D96">
        <v>40.981479999999998</v>
      </c>
    </row>
    <row r="97" spans="1:4" x14ac:dyDescent="0.25">
      <c r="A97">
        <v>93</v>
      </c>
      <c r="B97">
        <v>149.45320000000001</v>
      </c>
      <c r="C97">
        <v>26.47953</v>
      </c>
      <c r="D97">
        <v>46.731229999999996</v>
      </c>
    </row>
    <row r="98" spans="1:4" x14ac:dyDescent="0.25">
      <c r="A98">
        <v>94</v>
      </c>
      <c r="B98">
        <v>154.80017000000001</v>
      </c>
      <c r="C98">
        <v>37.651820000000001</v>
      </c>
      <c r="D98">
        <v>49.590029999999999</v>
      </c>
    </row>
    <row r="99" spans="1:4" x14ac:dyDescent="0.25">
      <c r="A99">
        <v>95</v>
      </c>
      <c r="B99">
        <v>133.32902999999999</v>
      </c>
      <c r="C99">
        <v>50.106549999999999</v>
      </c>
      <c r="D99">
        <v>44.920020000000001</v>
      </c>
    </row>
    <row r="100" spans="1:4" x14ac:dyDescent="0.25">
      <c r="A100">
        <v>96</v>
      </c>
      <c r="B100">
        <v>141.1189</v>
      </c>
      <c r="C100">
        <v>61.944740000000003</v>
      </c>
      <c r="D100">
        <v>50.794780000000003</v>
      </c>
    </row>
    <row r="101" spans="1:4" x14ac:dyDescent="0.25">
      <c r="A101">
        <v>97</v>
      </c>
      <c r="B101">
        <v>153.50542999999999</v>
      </c>
      <c r="C101">
        <v>85.569730000000007</v>
      </c>
      <c r="D101">
        <v>58.805660000000003</v>
      </c>
    </row>
    <row r="102" spans="1:4" x14ac:dyDescent="0.25">
      <c r="A102">
        <v>98</v>
      </c>
      <c r="B102">
        <v>125.61423000000001</v>
      </c>
      <c r="C102">
        <v>104.08405999999999</v>
      </c>
      <c r="D102">
        <v>56.975549999999998</v>
      </c>
    </row>
    <row r="103" spans="1:4" x14ac:dyDescent="0.25">
      <c r="A103">
        <v>99</v>
      </c>
      <c r="B103">
        <v>137.48369</v>
      </c>
      <c r="C103">
        <v>101.19704</v>
      </c>
      <c r="D103">
        <v>64.769099999999995</v>
      </c>
    </row>
    <row r="104" spans="1:4" x14ac:dyDescent="0.25">
      <c r="A104">
        <v>100</v>
      </c>
      <c r="B104">
        <v>154.77088000000001</v>
      </c>
      <c r="C104">
        <v>82.014399999999995</v>
      </c>
      <c r="D104">
        <v>79.428799999999995</v>
      </c>
    </row>
    <row r="105" spans="1:4" x14ac:dyDescent="0.25">
      <c r="A105">
        <v>101</v>
      </c>
      <c r="B105">
        <v>139.69492</v>
      </c>
      <c r="C105">
        <v>60.274189999999997</v>
      </c>
      <c r="D105">
        <v>80.977459999999994</v>
      </c>
    </row>
    <row r="106" spans="1:4" x14ac:dyDescent="0.25">
      <c r="A106">
        <v>102</v>
      </c>
      <c r="B106">
        <v>152.3383</v>
      </c>
      <c r="C106">
        <v>41.368020000000001</v>
      </c>
      <c r="D106">
        <v>83.080969999999994</v>
      </c>
    </row>
    <row r="107" spans="1:4" x14ac:dyDescent="0.25">
      <c r="A107">
        <v>103</v>
      </c>
      <c r="B107">
        <v>171.56041999999999</v>
      </c>
      <c r="C107">
        <v>27.66386</v>
      </c>
      <c r="D107">
        <v>83.769170000000003</v>
      </c>
    </row>
    <row r="108" spans="1:4" x14ac:dyDescent="0.25">
      <c r="A108">
        <v>104</v>
      </c>
      <c r="B108">
        <v>185.72165000000001</v>
      </c>
      <c r="C108">
        <v>8.7737499999999997</v>
      </c>
      <c r="D108">
        <v>54.417079999999999</v>
      </c>
    </row>
    <row r="109" spans="1:4" x14ac:dyDescent="0.25">
      <c r="A109">
        <v>105</v>
      </c>
      <c r="B109">
        <v>174.0463</v>
      </c>
      <c r="C109">
        <v>61.377339999999997</v>
      </c>
      <c r="D109">
        <v>101.97683000000001</v>
      </c>
    </row>
    <row r="110" spans="1:4" x14ac:dyDescent="0.25">
      <c r="A110">
        <v>106</v>
      </c>
      <c r="B110">
        <v>179.35308000000001</v>
      </c>
      <c r="C110">
        <v>324.29809999999998</v>
      </c>
      <c r="D110">
        <v>304.03636</v>
      </c>
    </row>
    <row r="111" spans="1:4" x14ac:dyDescent="0.25">
      <c r="A111">
        <v>107</v>
      </c>
      <c r="B111">
        <v>167.56112999999999</v>
      </c>
      <c r="C111">
        <v>184.90916000000001</v>
      </c>
      <c r="D111">
        <v>162.46041</v>
      </c>
    </row>
    <row r="112" spans="1:4" x14ac:dyDescent="0.25">
      <c r="A112">
        <v>108</v>
      </c>
      <c r="B112">
        <v>237.69667000000001</v>
      </c>
      <c r="C112">
        <v>83.057149999999993</v>
      </c>
      <c r="D112">
        <v>86.527469999999994</v>
      </c>
    </row>
    <row r="113" spans="1:4" x14ac:dyDescent="0.25">
      <c r="A113">
        <v>109</v>
      </c>
      <c r="B113">
        <v>221.01606000000001</v>
      </c>
      <c r="C113">
        <v>52.734099999999998</v>
      </c>
      <c r="D113">
        <v>63.177779999999998</v>
      </c>
    </row>
    <row r="114" spans="1:4" x14ac:dyDescent="0.25">
      <c r="A114">
        <v>110</v>
      </c>
      <c r="B114">
        <v>199.9074</v>
      </c>
      <c r="C114">
        <v>58.80988</v>
      </c>
      <c r="D114">
        <v>54.022509999999997</v>
      </c>
    </row>
    <row r="115" spans="1:4" x14ac:dyDescent="0.25">
      <c r="A115">
        <v>111</v>
      </c>
      <c r="B115">
        <v>162.55531999999999</v>
      </c>
      <c r="C115">
        <v>56.942889999999998</v>
      </c>
      <c r="D115">
        <v>50.370170000000002</v>
      </c>
    </row>
    <row r="116" spans="1:4" x14ac:dyDescent="0.25">
      <c r="A116">
        <v>112</v>
      </c>
      <c r="B116">
        <v>147.71563</v>
      </c>
      <c r="C116">
        <v>44.696359999999999</v>
      </c>
      <c r="D116">
        <v>46.353439999999999</v>
      </c>
    </row>
    <row r="117" spans="1:4" x14ac:dyDescent="0.25">
      <c r="A117">
        <v>113</v>
      </c>
      <c r="B117">
        <v>156.23760999999999</v>
      </c>
      <c r="C117">
        <v>33.952100000000002</v>
      </c>
      <c r="D117">
        <v>42.227809999999998</v>
      </c>
    </row>
    <row r="118" spans="1:4" x14ac:dyDescent="0.25">
      <c r="A118">
        <v>114</v>
      </c>
      <c r="B118">
        <v>166.60278</v>
      </c>
      <c r="C118">
        <v>34.492420000000003</v>
      </c>
      <c r="D118">
        <v>38.802810000000001</v>
      </c>
    </row>
    <row r="119" spans="1:4" x14ac:dyDescent="0.25">
      <c r="A119">
        <v>115</v>
      </c>
      <c r="B119">
        <v>162.83950999999999</v>
      </c>
      <c r="C119">
        <v>31.119700000000002</v>
      </c>
      <c r="D119">
        <v>38.974209999999999</v>
      </c>
    </row>
    <row r="120" spans="1:4" x14ac:dyDescent="0.25">
      <c r="A120">
        <v>116</v>
      </c>
      <c r="B120">
        <v>137.76438999999999</v>
      </c>
      <c r="C120">
        <v>31.166270000000001</v>
      </c>
      <c r="D120">
        <v>38.634839999999997</v>
      </c>
    </row>
    <row r="121" spans="1:4" x14ac:dyDescent="0.25">
      <c r="A121">
        <v>117</v>
      </c>
      <c r="B121">
        <v>149.58251000000001</v>
      </c>
      <c r="C121">
        <v>30.000330000000002</v>
      </c>
      <c r="D121">
        <v>36.379069999999999</v>
      </c>
    </row>
    <row r="122" spans="1:4" x14ac:dyDescent="0.25">
      <c r="A122">
        <v>118</v>
      </c>
      <c r="B122">
        <v>157.09755000000001</v>
      </c>
      <c r="C122">
        <v>25.826270000000001</v>
      </c>
      <c r="D122">
        <v>34.60013</v>
      </c>
    </row>
    <row r="123" spans="1:4" x14ac:dyDescent="0.25">
      <c r="A123">
        <v>119</v>
      </c>
      <c r="B123">
        <v>141.71612999999999</v>
      </c>
      <c r="C123">
        <v>26.637899999999998</v>
      </c>
      <c r="D123">
        <v>37.197920000000003</v>
      </c>
    </row>
    <row r="124" spans="1:4" x14ac:dyDescent="0.25">
      <c r="A124">
        <v>120</v>
      </c>
      <c r="B124">
        <v>169.65771000000001</v>
      </c>
      <c r="C124">
        <v>37.04768</v>
      </c>
      <c r="D124">
        <v>47.928849999999997</v>
      </c>
    </row>
    <row r="125" spans="1:4" x14ac:dyDescent="0.25">
      <c r="A125">
        <v>121</v>
      </c>
      <c r="B125">
        <v>149.43055000000001</v>
      </c>
      <c r="C125">
        <v>23.641590000000001</v>
      </c>
      <c r="D125">
        <v>70.945250000000001</v>
      </c>
    </row>
    <row r="126" spans="1:4" x14ac:dyDescent="0.25">
      <c r="A126">
        <v>122</v>
      </c>
      <c r="B126">
        <v>141.26536999999999</v>
      </c>
      <c r="C126">
        <v>29.380210000000002</v>
      </c>
      <c r="D126">
        <v>83.497720000000001</v>
      </c>
    </row>
    <row r="127" spans="1:4" x14ac:dyDescent="0.25">
      <c r="A127">
        <v>123</v>
      </c>
      <c r="B127">
        <v>144.88183000000001</v>
      </c>
      <c r="C127">
        <v>29.722300000000001</v>
      </c>
      <c r="D127">
        <v>88.153019999999998</v>
      </c>
    </row>
    <row r="128" spans="1:4" x14ac:dyDescent="0.25">
      <c r="A128">
        <v>124</v>
      </c>
      <c r="B128">
        <v>184.32266000000001</v>
      </c>
      <c r="C128">
        <v>28.133140000000001</v>
      </c>
      <c r="D128">
        <v>88.659540000000007</v>
      </c>
    </row>
    <row r="129" spans="1:4" x14ac:dyDescent="0.25">
      <c r="A129">
        <v>125</v>
      </c>
      <c r="B129">
        <v>164.96404999999999</v>
      </c>
      <c r="C129">
        <v>33.367730000000002</v>
      </c>
      <c r="D129">
        <v>91.9893</v>
      </c>
    </row>
    <row r="130" spans="1:4" x14ac:dyDescent="0.25">
      <c r="A130">
        <v>126</v>
      </c>
      <c r="B130">
        <v>148.64911000000001</v>
      </c>
      <c r="C130">
        <v>25.890080000000001</v>
      </c>
      <c r="D130">
        <v>87.760159999999999</v>
      </c>
    </row>
    <row r="131" spans="1:4" x14ac:dyDescent="0.25">
      <c r="A131">
        <v>127</v>
      </c>
      <c r="B131">
        <v>152.45214000000001</v>
      </c>
      <c r="C131">
        <v>36.051659999999998</v>
      </c>
      <c r="D131">
        <v>76.477549999999994</v>
      </c>
    </row>
    <row r="132" spans="1:4" x14ac:dyDescent="0.25">
      <c r="A132">
        <v>128</v>
      </c>
      <c r="B132">
        <v>153.62173000000001</v>
      </c>
      <c r="C132">
        <v>29.88935</v>
      </c>
      <c r="D132">
        <v>83.080680000000001</v>
      </c>
    </row>
    <row r="133" spans="1:4" x14ac:dyDescent="0.25">
      <c r="A133">
        <v>129</v>
      </c>
      <c r="B133">
        <v>159.07169999999999</v>
      </c>
      <c r="C133">
        <v>42.305680000000002</v>
      </c>
      <c r="D133">
        <v>92.962890000000002</v>
      </c>
    </row>
    <row r="134" spans="1:4" x14ac:dyDescent="0.25">
      <c r="A134">
        <v>130</v>
      </c>
      <c r="B134">
        <v>146.68576999999999</v>
      </c>
      <c r="C134">
        <v>32.569650000000003</v>
      </c>
      <c r="D134">
        <v>72.694239999999994</v>
      </c>
    </row>
    <row r="135" spans="1:4" x14ac:dyDescent="0.25">
      <c r="A135">
        <v>131</v>
      </c>
      <c r="B135">
        <v>183.99437</v>
      </c>
      <c r="C135">
        <v>20.305779999999999</v>
      </c>
      <c r="D135">
        <v>51.070639999999997</v>
      </c>
    </row>
    <row r="136" spans="1:4" x14ac:dyDescent="0.25">
      <c r="A136">
        <v>132</v>
      </c>
      <c r="B136">
        <v>196.93343999999999</v>
      </c>
      <c r="C136">
        <v>124.77146</v>
      </c>
      <c r="D136">
        <v>270.30739</v>
      </c>
    </row>
    <row r="137" spans="1:4" x14ac:dyDescent="0.25">
      <c r="A137">
        <v>133</v>
      </c>
      <c r="B137">
        <v>200.26657</v>
      </c>
      <c r="C137">
        <v>247.71360000000001</v>
      </c>
      <c r="D137">
        <v>158.17892000000001</v>
      </c>
    </row>
    <row r="138" spans="1:4" x14ac:dyDescent="0.25">
      <c r="A138">
        <v>134</v>
      </c>
      <c r="B138">
        <v>194.40719999999999</v>
      </c>
      <c r="C138">
        <v>152.39176</v>
      </c>
      <c r="D138">
        <v>88.935599999999994</v>
      </c>
    </row>
    <row r="139" spans="1:4" x14ac:dyDescent="0.25">
      <c r="A139">
        <v>135</v>
      </c>
      <c r="B139">
        <v>217.42312000000001</v>
      </c>
      <c r="C139">
        <v>91.090829999999997</v>
      </c>
      <c r="D139">
        <v>73.086770000000001</v>
      </c>
    </row>
    <row r="140" spans="1:4" x14ac:dyDescent="0.25">
      <c r="A140">
        <v>136</v>
      </c>
      <c r="B140">
        <v>252.22540000000001</v>
      </c>
      <c r="C140">
        <v>78.04607</v>
      </c>
      <c r="D140">
        <v>58.911859999999997</v>
      </c>
    </row>
    <row r="141" spans="1:4" x14ac:dyDescent="0.25">
      <c r="A141">
        <v>137</v>
      </c>
      <c r="B141">
        <v>215.35058000000001</v>
      </c>
      <c r="C141">
        <v>82.737539999999996</v>
      </c>
      <c r="D141">
        <v>57.490499999999997</v>
      </c>
    </row>
    <row r="142" spans="1:4" x14ac:dyDescent="0.25">
      <c r="A142">
        <v>138</v>
      </c>
      <c r="B142">
        <v>168.44676000000001</v>
      </c>
      <c r="C142">
        <v>80.341430000000003</v>
      </c>
      <c r="D142">
        <v>41.804609999999997</v>
      </c>
    </row>
    <row r="143" spans="1:4" x14ac:dyDescent="0.25">
      <c r="A143">
        <v>139</v>
      </c>
      <c r="B143">
        <v>159.11506</v>
      </c>
      <c r="C143">
        <v>56.390540000000001</v>
      </c>
      <c r="D143">
        <v>38.993090000000002</v>
      </c>
    </row>
    <row r="144" spans="1:4" x14ac:dyDescent="0.25">
      <c r="A144">
        <v>140</v>
      </c>
      <c r="B144">
        <v>157.1138</v>
      </c>
      <c r="C144">
        <v>57.588380000000001</v>
      </c>
      <c r="D144">
        <v>41.071480000000001</v>
      </c>
    </row>
    <row r="145" spans="1:4" x14ac:dyDescent="0.25">
      <c r="A145">
        <v>141</v>
      </c>
      <c r="B145">
        <v>136.17852999999999</v>
      </c>
      <c r="C145">
        <v>60.867330000000003</v>
      </c>
      <c r="D145">
        <v>41.930250000000001</v>
      </c>
    </row>
    <row r="146" spans="1:4" x14ac:dyDescent="0.25">
      <c r="A146">
        <v>142</v>
      </c>
      <c r="B146">
        <v>117.57868999999999</v>
      </c>
      <c r="C146">
        <v>56.123739999999998</v>
      </c>
      <c r="D146">
        <v>36.805970000000002</v>
      </c>
    </row>
    <row r="147" spans="1:4" x14ac:dyDescent="0.25">
      <c r="A147">
        <v>143</v>
      </c>
      <c r="B147">
        <v>130.61823999999999</v>
      </c>
      <c r="C147">
        <v>37.14235</v>
      </c>
      <c r="D147">
        <v>37.508740000000003</v>
      </c>
    </row>
    <row r="148" spans="1:4" x14ac:dyDescent="0.25">
      <c r="A148">
        <v>144</v>
      </c>
      <c r="B148">
        <v>133.59639000000001</v>
      </c>
      <c r="C148">
        <v>46.565860000000001</v>
      </c>
      <c r="D148">
        <v>38.1327</v>
      </c>
    </row>
    <row r="149" spans="1:4" x14ac:dyDescent="0.25">
      <c r="A149">
        <v>145</v>
      </c>
      <c r="B149">
        <v>122.97913</v>
      </c>
      <c r="C149">
        <v>36.416200000000003</v>
      </c>
      <c r="D149">
        <v>42.64423</v>
      </c>
    </row>
    <row r="150" spans="1:4" x14ac:dyDescent="0.25">
      <c r="A150">
        <v>146</v>
      </c>
      <c r="B150">
        <v>98.249440000000007</v>
      </c>
      <c r="C150">
        <v>35.638170000000002</v>
      </c>
      <c r="D150">
        <v>42.26961</v>
      </c>
    </row>
    <row r="151" spans="1:4" x14ac:dyDescent="0.25">
      <c r="A151">
        <v>147</v>
      </c>
      <c r="B151">
        <v>105.42276</v>
      </c>
      <c r="C151">
        <v>35.891500000000001</v>
      </c>
      <c r="D151">
        <v>54.153350000000003</v>
      </c>
    </row>
    <row r="152" spans="1:4" x14ac:dyDescent="0.25">
      <c r="A152">
        <v>148</v>
      </c>
      <c r="B152">
        <v>103.04882000000001</v>
      </c>
      <c r="C152">
        <v>35.678719999999998</v>
      </c>
      <c r="D152">
        <v>63.89631</v>
      </c>
    </row>
    <row r="153" spans="1:4" x14ac:dyDescent="0.25">
      <c r="A153">
        <v>149</v>
      </c>
      <c r="B153">
        <v>103.7667</v>
      </c>
      <c r="C153">
        <v>37.033410000000003</v>
      </c>
      <c r="D153">
        <v>68.145089999999996</v>
      </c>
    </row>
    <row r="154" spans="1:4" x14ac:dyDescent="0.25">
      <c r="A154">
        <v>150</v>
      </c>
      <c r="B154">
        <v>115.7136</v>
      </c>
      <c r="C154">
        <v>43.842930000000003</v>
      </c>
      <c r="D154">
        <v>59.734679999999997</v>
      </c>
    </row>
    <row r="155" spans="1:4" x14ac:dyDescent="0.25">
      <c r="A155">
        <v>151</v>
      </c>
      <c r="B155">
        <v>113.01602</v>
      </c>
      <c r="C155">
        <v>63.487349999999999</v>
      </c>
      <c r="D155">
        <v>64.754720000000006</v>
      </c>
    </row>
    <row r="156" spans="1:4" x14ac:dyDescent="0.25">
      <c r="A156">
        <v>152</v>
      </c>
      <c r="B156">
        <v>150.44394</v>
      </c>
      <c r="C156">
        <v>64.143389999999997</v>
      </c>
      <c r="D156">
        <v>77.493229999999997</v>
      </c>
    </row>
    <row r="157" spans="1:4" x14ac:dyDescent="0.25">
      <c r="A157">
        <v>153</v>
      </c>
      <c r="B157">
        <v>136.12030999999999</v>
      </c>
      <c r="C157">
        <v>69.942220000000006</v>
      </c>
      <c r="D157">
        <v>91.156030000000001</v>
      </c>
    </row>
    <row r="158" spans="1:4" x14ac:dyDescent="0.25">
      <c r="A158">
        <v>154</v>
      </c>
      <c r="B158">
        <v>146.9213</v>
      </c>
      <c r="C158">
        <v>74.075729999999993</v>
      </c>
      <c r="D158">
        <v>94.832800000000006</v>
      </c>
    </row>
    <row r="159" spans="1:4" x14ac:dyDescent="0.25">
      <c r="A159">
        <v>155</v>
      </c>
      <c r="B159">
        <v>147.51998</v>
      </c>
      <c r="C159">
        <v>74.201890000000006</v>
      </c>
      <c r="D159">
        <v>94.298929999999999</v>
      </c>
    </row>
    <row r="160" spans="1:4" x14ac:dyDescent="0.25">
      <c r="A160">
        <v>156</v>
      </c>
      <c r="B160">
        <v>129.75505999999999</v>
      </c>
      <c r="C160">
        <v>70.323869999999999</v>
      </c>
      <c r="D160">
        <v>84.025540000000007</v>
      </c>
    </row>
    <row r="161" spans="1:4" x14ac:dyDescent="0.25">
      <c r="A161">
        <v>157</v>
      </c>
      <c r="B161">
        <v>158.92464000000001</v>
      </c>
      <c r="C161">
        <v>52.058439999999997</v>
      </c>
      <c r="D161">
        <v>76.529020000000003</v>
      </c>
    </row>
    <row r="162" spans="1:4" x14ac:dyDescent="0.25">
      <c r="A162">
        <v>158</v>
      </c>
      <c r="B162">
        <v>180.53845999999999</v>
      </c>
      <c r="C162">
        <v>91.662540000000007</v>
      </c>
      <c r="D162">
        <v>208.70275000000001</v>
      </c>
    </row>
    <row r="163" spans="1:4" x14ac:dyDescent="0.25">
      <c r="A163">
        <v>159</v>
      </c>
      <c r="B163">
        <v>189.64526000000001</v>
      </c>
      <c r="C163">
        <v>204.78800000000001</v>
      </c>
      <c r="D163">
        <v>253.92726999999999</v>
      </c>
    </row>
    <row r="164" spans="1:4" x14ac:dyDescent="0.25">
      <c r="A164">
        <v>160</v>
      </c>
      <c r="B164">
        <v>178.03514999999999</v>
      </c>
      <c r="C164">
        <v>193.36152999999999</v>
      </c>
      <c r="D164">
        <v>138.74842000000001</v>
      </c>
    </row>
    <row r="165" spans="1:4" x14ac:dyDescent="0.25">
      <c r="A165">
        <v>161</v>
      </c>
      <c r="B165">
        <v>166.69014999999999</v>
      </c>
      <c r="C165">
        <v>99.053219999999996</v>
      </c>
      <c r="D165">
        <v>84.610900000000001</v>
      </c>
    </row>
    <row r="166" spans="1:4" x14ac:dyDescent="0.25">
      <c r="A166">
        <v>162</v>
      </c>
      <c r="B166">
        <v>178.47747000000001</v>
      </c>
      <c r="C166">
        <v>69.954490000000007</v>
      </c>
      <c r="D166">
        <v>82.476889999999997</v>
      </c>
    </row>
    <row r="167" spans="1:4" x14ac:dyDescent="0.25">
      <c r="A167">
        <v>163</v>
      </c>
      <c r="B167">
        <v>289.69364000000002</v>
      </c>
      <c r="C167">
        <v>83.0732</v>
      </c>
      <c r="D167">
        <v>65.901730000000001</v>
      </c>
    </row>
    <row r="168" spans="1:4" x14ac:dyDescent="0.25">
      <c r="A168">
        <v>164</v>
      </c>
      <c r="B168">
        <v>273.15087</v>
      </c>
      <c r="C168">
        <v>88.314160000000001</v>
      </c>
      <c r="D168">
        <v>53.260719999999999</v>
      </c>
    </row>
    <row r="169" spans="1:4" x14ac:dyDescent="0.25">
      <c r="A169">
        <v>165</v>
      </c>
      <c r="B169">
        <v>198.37302</v>
      </c>
      <c r="C169">
        <v>68.574749999999995</v>
      </c>
      <c r="D169">
        <v>48.026560000000003</v>
      </c>
    </row>
    <row r="170" spans="1:4" x14ac:dyDescent="0.25">
      <c r="A170">
        <v>166</v>
      </c>
      <c r="B170">
        <v>167.35228000000001</v>
      </c>
      <c r="C170">
        <v>59.53687</v>
      </c>
      <c r="D170">
        <v>42.199840000000002</v>
      </c>
    </row>
    <row r="171" spans="1:4" x14ac:dyDescent="0.25">
      <c r="A171">
        <v>167</v>
      </c>
      <c r="B171">
        <v>171.91818000000001</v>
      </c>
      <c r="C171">
        <v>55.129750000000001</v>
      </c>
      <c r="D171">
        <v>46.492530000000002</v>
      </c>
    </row>
    <row r="172" spans="1:4" x14ac:dyDescent="0.25">
      <c r="A172">
        <v>168</v>
      </c>
      <c r="B172">
        <v>162.69290000000001</v>
      </c>
      <c r="C172">
        <v>61.378500000000003</v>
      </c>
      <c r="D172">
        <v>48.650579999999998</v>
      </c>
    </row>
    <row r="173" spans="1:4" x14ac:dyDescent="0.25">
      <c r="A173">
        <v>169</v>
      </c>
      <c r="B173">
        <v>145.08187000000001</v>
      </c>
      <c r="C173">
        <v>35.700159999999997</v>
      </c>
      <c r="D173">
        <v>45.960590000000003</v>
      </c>
    </row>
    <row r="174" spans="1:4" x14ac:dyDescent="0.25">
      <c r="A174">
        <v>170</v>
      </c>
      <c r="B174">
        <v>166.50256999999999</v>
      </c>
      <c r="C174">
        <v>43.160409999999999</v>
      </c>
      <c r="D174">
        <v>37.313380000000002</v>
      </c>
    </row>
    <row r="175" spans="1:4" x14ac:dyDescent="0.25">
      <c r="A175">
        <v>171</v>
      </c>
      <c r="B175">
        <v>132.94776999999999</v>
      </c>
      <c r="C175">
        <v>45.478070000000002</v>
      </c>
      <c r="D175">
        <v>38.806809999999999</v>
      </c>
    </row>
    <row r="176" spans="1:4" x14ac:dyDescent="0.25">
      <c r="A176">
        <v>172</v>
      </c>
      <c r="B176">
        <v>121.24265</v>
      </c>
      <c r="C176">
        <v>46.733620000000002</v>
      </c>
      <c r="D176">
        <v>40.278930000000003</v>
      </c>
    </row>
    <row r="177" spans="1:4" x14ac:dyDescent="0.25">
      <c r="A177">
        <v>173</v>
      </c>
      <c r="B177">
        <v>100.62842000000001</v>
      </c>
      <c r="C177">
        <v>46.038989999999998</v>
      </c>
      <c r="D177">
        <v>43.428469999999997</v>
      </c>
    </row>
    <row r="178" spans="1:4" x14ac:dyDescent="0.25">
      <c r="A178">
        <v>174</v>
      </c>
      <c r="B178">
        <v>119.72456</v>
      </c>
      <c r="C178">
        <v>45.845880000000001</v>
      </c>
      <c r="D178">
        <v>47.758940000000003</v>
      </c>
    </row>
    <row r="179" spans="1:4" x14ac:dyDescent="0.25">
      <c r="A179">
        <v>175</v>
      </c>
      <c r="B179">
        <v>102.00552999999999</v>
      </c>
      <c r="C179">
        <v>47.188639999999999</v>
      </c>
      <c r="D179">
        <v>54.265030000000003</v>
      </c>
    </row>
    <row r="180" spans="1:4" x14ac:dyDescent="0.25">
      <c r="A180">
        <v>176</v>
      </c>
      <c r="B180">
        <v>119.78351000000001</v>
      </c>
      <c r="C180">
        <v>55.566719999999997</v>
      </c>
      <c r="D180">
        <v>61.88252</v>
      </c>
    </row>
    <row r="181" spans="1:4" x14ac:dyDescent="0.25">
      <c r="A181">
        <v>177</v>
      </c>
      <c r="B181">
        <v>103.93182</v>
      </c>
      <c r="C181">
        <v>66.289469999999994</v>
      </c>
      <c r="D181">
        <v>65.294799999999995</v>
      </c>
    </row>
    <row r="182" spans="1:4" x14ac:dyDescent="0.25">
      <c r="A182">
        <v>178</v>
      </c>
      <c r="B182">
        <v>117.92111</v>
      </c>
      <c r="C182">
        <v>76.060500000000005</v>
      </c>
      <c r="D182">
        <v>69.141480000000001</v>
      </c>
    </row>
    <row r="183" spans="1:4" x14ac:dyDescent="0.25">
      <c r="A183">
        <v>179</v>
      </c>
      <c r="B183">
        <v>106.62987</v>
      </c>
      <c r="C183">
        <v>54.89902</v>
      </c>
      <c r="D183">
        <v>74.769109999999998</v>
      </c>
    </row>
    <row r="184" spans="1:4" x14ac:dyDescent="0.25">
      <c r="A184">
        <v>180</v>
      </c>
      <c r="B184">
        <v>115.64332</v>
      </c>
      <c r="C184">
        <v>53.545400000000001</v>
      </c>
      <c r="D184">
        <v>70.806229999999999</v>
      </c>
    </row>
    <row r="185" spans="1:4" x14ac:dyDescent="0.25">
      <c r="A185">
        <v>181</v>
      </c>
      <c r="B185">
        <v>105.12545</v>
      </c>
      <c r="C185">
        <v>41.351089999999999</v>
      </c>
      <c r="D185">
        <v>76.17989</v>
      </c>
    </row>
    <row r="186" spans="1:4" x14ac:dyDescent="0.25">
      <c r="A186">
        <v>182</v>
      </c>
      <c r="B186">
        <v>118.70174</v>
      </c>
      <c r="C186">
        <v>34.852150000000002</v>
      </c>
      <c r="D186">
        <v>83.068730000000002</v>
      </c>
    </row>
    <row r="187" spans="1:4" x14ac:dyDescent="0.25">
      <c r="A187">
        <v>183</v>
      </c>
      <c r="B187">
        <v>106.10527</v>
      </c>
      <c r="C187">
        <v>33.16601</v>
      </c>
      <c r="D187">
        <v>105.54601</v>
      </c>
    </row>
    <row r="188" spans="1:4" x14ac:dyDescent="0.25">
      <c r="A188">
        <v>184</v>
      </c>
      <c r="B188">
        <v>128.37021999999999</v>
      </c>
      <c r="C188">
        <v>12.262829999999999</v>
      </c>
      <c r="D188">
        <v>170.77440999999999</v>
      </c>
    </row>
    <row r="189" spans="1:4" x14ac:dyDescent="0.25">
      <c r="A189">
        <v>185</v>
      </c>
      <c r="B189">
        <v>124.80175</v>
      </c>
      <c r="C189">
        <v>131.05053000000001</v>
      </c>
      <c r="D189">
        <v>235.27997999999999</v>
      </c>
    </row>
    <row r="190" spans="1:4" x14ac:dyDescent="0.25">
      <c r="A190">
        <v>186</v>
      </c>
      <c r="B190">
        <v>153.01483999999999</v>
      </c>
      <c r="C190">
        <v>216.57438999999999</v>
      </c>
      <c r="D190">
        <v>107.66692</v>
      </c>
    </row>
    <row r="191" spans="1:4" x14ac:dyDescent="0.25">
      <c r="A191">
        <v>187</v>
      </c>
      <c r="B191">
        <v>173.62956</v>
      </c>
      <c r="C191">
        <v>143.70812000000001</v>
      </c>
      <c r="D191">
        <v>84.116969999999995</v>
      </c>
    </row>
    <row r="192" spans="1:4" x14ac:dyDescent="0.25">
      <c r="A192">
        <v>188</v>
      </c>
      <c r="B192">
        <v>166.29678000000001</v>
      </c>
      <c r="C192">
        <v>87.49315</v>
      </c>
      <c r="D192">
        <v>59.520960000000002</v>
      </c>
    </row>
    <row r="193" spans="1:4" x14ac:dyDescent="0.25">
      <c r="A193">
        <v>189</v>
      </c>
      <c r="B193">
        <v>185.19262000000001</v>
      </c>
      <c r="C193">
        <v>76.626919999999998</v>
      </c>
      <c r="D193">
        <v>44.910980000000002</v>
      </c>
    </row>
    <row r="194" spans="1:4" x14ac:dyDescent="0.25">
      <c r="A194">
        <v>190</v>
      </c>
      <c r="B194">
        <v>230.13762</v>
      </c>
      <c r="C194">
        <v>68.879779999999997</v>
      </c>
      <c r="D194">
        <v>46.081359999999997</v>
      </c>
    </row>
    <row r="195" spans="1:4" x14ac:dyDescent="0.25">
      <c r="A195">
        <v>191</v>
      </c>
      <c r="B195">
        <v>252.83609999999999</v>
      </c>
      <c r="C195">
        <v>46.397179999999999</v>
      </c>
      <c r="D195">
        <v>47.122309999999999</v>
      </c>
    </row>
    <row r="196" spans="1:4" x14ac:dyDescent="0.25">
      <c r="A196">
        <v>192</v>
      </c>
      <c r="B196">
        <v>198.63571999999999</v>
      </c>
      <c r="C196">
        <v>39.984560000000002</v>
      </c>
      <c r="D196">
        <v>39.949550000000002</v>
      </c>
    </row>
    <row r="197" spans="1:4" x14ac:dyDescent="0.25">
      <c r="A197">
        <v>193</v>
      </c>
      <c r="B197">
        <v>168.36150000000001</v>
      </c>
      <c r="C197">
        <v>39.260060000000003</v>
      </c>
      <c r="D197">
        <v>40.547469999999997</v>
      </c>
    </row>
    <row r="198" spans="1:4" x14ac:dyDescent="0.25">
      <c r="A198">
        <v>194</v>
      </c>
      <c r="B198">
        <v>145.25162</v>
      </c>
      <c r="C198">
        <v>32.46463</v>
      </c>
      <c r="D198">
        <v>40.399439999999998</v>
      </c>
    </row>
    <row r="199" spans="1:4" x14ac:dyDescent="0.25">
      <c r="A199">
        <v>195</v>
      </c>
      <c r="B199">
        <v>102.35795</v>
      </c>
      <c r="C199">
        <v>31.080880000000001</v>
      </c>
      <c r="D199">
        <v>39.84516</v>
      </c>
    </row>
    <row r="200" spans="1:4" x14ac:dyDescent="0.25">
      <c r="A200">
        <v>196</v>
      </c>
      <c r="B200">
        <v>152.21808999999999</v>
      </c>
      <c r="C200">
        <v>36.002079999999999</v>
      </c>
      <c r="D200">
        <v>40.986629999999998</v>
      </c>
    </row>
    <row r="201" spans="1:4" x14ac:dyDescent="0.25">
      <c r="A201">
        <v>197</v>
      </c>
      <c r="B201">
        <v>138.04701</v>
      </c>
      <c r="C201">
        <v>40.693959999999997</v>
      </c>
      <c r="D201">
        <v>44.467199999999998</v>
      </c>
    </row>
    <row r="202" spans="1:4" x14ac:dyDescent="0.25">
      <c r="A202">
        <v>198</v>
      </c>
      <c r="B202">
        <v>117.57975999999999</v>
      </c>
      <c r="C202">
        <v>44.305349999999997</v>
      </c>
      <c r="D202">
        <v>46.453490000000002</v>
      </c>
    </row>
    <row r="203" spans="1:4" x14ac:dyDescent="0.25">
      <c r="A203">
        <v>199</v>
      </c>
      <c r="B203">
        <v>121.36997</v>
      </c>
      <c r="C203">
        <v>55.559130000000003</v>
      </c>
      <c r="D203">
        <v>46.340009999999999</v>
      </c>
    </row>
    <row r="204" spans="1:4" x14ac:dyDescent="0.25">
      <c r="A204">
        <v>200</v>
      </c>
      <c r="B204">
        <v>98.869380000000007</v>
      </c>
      <c r="C204">
        <v>77.002300000000005</v>
      </c>
      <c r="D204">
        <v>40.689059999999998</v>
      </c>
    </row>
    <row r="205" spans="1:4" x14ac:dyDescent="0.25">
      <c r="A205">
        <v>201</v>
      </c>
      <c r="B205">
        <v>127.5656</v>
      </c>
      <c r="C205">
        <v>89.263019999999997</v>
      </c>
      <c r="D205">
        <v>43.812849999999997</v>
      </c>
    </row>
    <row r="206" spans="1:4" x14ac:dyDescent="0.25">
      <c r="A206">
        <v>202</v>
      </c>
      <c r="B206">
        <v>109.06912</v>
      </c>
      <c r="C206">
        <v>69.000829999999993</v>
      </c>
      <c r="D206">
        <v>50.451979999999999</v>
      </c>
    </row>
    <row r="207" spans="1:4" x14ac:dyDescent="0.25">
      <c r="A207">
        <v>203</v>
      </c>
      <c r="B207">
        <v>147.89261999999999</v>
      </c>
      <c r="C207">
        <v>82.996409999999997</v>
      </c>
      <c r="D207">
        <v>58.894750000000002</v>
      </c>
    </row>
    <row r="208" spans="1:4" x14ac:dyDescent="0.25">
      <c r="A208">
        <v>204</v>
      </c>
      <c r="B208">
        <v>134.13525999999999</v>
      </c>
      <c r="C208">
        <v>68.370140000000006</v>
      </c>
      <c r="D208">
        <v>63.311309999999999</v>
      </c>
    </row>
    <row r="209" spans="1:4" x14ac:dyDescent="0.25">
      <c r="A209">
        <v>205</v>
      </c>
      <c r="B209">
        <v>140.26338999999999</v>
      </c>
      <c r="C209">
        <v>63.208039999999997</v>
      </c>
      <c r="D209">
        <v>78.931730000000002</v>
      </c>
    </row>
    <row r="210" spans="1:4" x14ac:dyDescent="0.25">
      <c r="A210">
        <v>206</v>
      </c>
      <c r="B210">
        <v>159.52916999999999</v>
      </c>
      <c r="C210">
        <v>76.454859999999996</v>
      </c>
      <c r="D210">
        <v>75.925569999999993</v>
      </c>
    </row>
    <row r="211" spans="1:4" x14ac:dyDescent="0.25">
      <c r="A211">
        <v>207</v>
      </c>
      <c r="B211">
        <v>106.42409000000001</v>
      </c>
      <c r="C211">
        <v>88.116060000000004</v>
      </c>
      <c r="D211">
        <v>76.379800000000003</v>
      </c>
    </row>
    <row r="212" spans="1:4" x14ac:dyDescent="0.25">
      <c r="A212">
        <v>208</v>
      </c>
      <c r="B212">
        <v>156.52591000000001</v>
      </c>
      <c r="C212">
        <v>102.75702</v>
      </c>
      <c r="D212">
        <v>76.254819999999995</v>
      </c>
    </row>
    <row r="213" spans="1:4" x14ac:dyDescent="0.25">
      <c r="A213">
        <v>209</v>
      </c>
      <c r="B213">
        <v>165.61998</v>
      </c>
      <c r="C213">
        <v>92.051360000000003</v>
      </c>
      <c r="D213">
        <v>54.07508</v>
      </c>
    </row>
    <row r="214" spans="1:4" x14ac:dyDescent="0.25">
      <c r="A214">
        <v>210</v>
      </c>
      <c r="B214">
        <v>147.19618</v>
      </c>
      <c r="C214">
        <v>39.67286</v>
      </c>
      <c r="D214">
        <v>127.00154999999999</v>
      </c>
    </row>
    <row r="215" spans="1:4" x14ac:dyDescent="0.25">
      <c r="A215">
        <v>211</v>
      </c>
      <c r="B215">
        <v>175.51571999999999</v>
      </c>
      <c r="C215">
        <v>14.5015</v>
      </c>
      <c r="D215">
        <v>244.62459999999999</v>
      </c>
    </row>
    <row r="216" spans="1:4" x14ac:dyDescent="0.25">
      <c r="A216">
        <v>212</v>
      </c>
      <c r="B216">
        <v>219.98166000000001</v>
      </c>
      <c r="C216">
        <v>170.1063</v>
      </c>
      <c r="D216">
        <v>103.08644</v>
      </c>
    </row>
    <row r="217" spans="1:4" x14ac:dyDescent="0.25">
      <c r="A217">
        <v>213</v>
      </c>
      <c r="B217">
        <v>212.77465000000001</v>
      </c>
      <c r="C217">
        <v>211.81479999999999</v>
      </c>
      <c r="D217">
        <v>64.712720000000004</v>
      </c>
    </row>
    <row r="218" spans="1:4" x14ac:dyDescent="0.25">
      <c r="A218">
        <v>214</v>
      </c>
      <c r="B218">
        <v>209.94990000000001</v>
      </c>
      <c r="C218">
        <v>115.40049999999999</v>
      </c>
      <c r="D218">
        <v>51.793109999999999</v>
      </c>
    </row>
    <row r="219" spans="1:4" x14ac:dyDescent="0.25">
      <c r="A219">
        <v>215</v>
      </c>
      <c r="B219">
        <v>191.60819000000001</v>
      </c>
      <c r="C219">
        <v>61.492719999999998</v>
      </c>
      <c r="D219">
        <v>50.93891</v>
      </c>
    </row>
    <row r="220" spans="1:4" x14ac:dyDescent="0.25">
      <c r="A220">
        <v>216</v>
      </c>
      <c r="B220">
        <v>140.13604000000001</v>
      </c>
      <c r="C220">
        <v>50.612009999999998</v>
      </c>
      <c r="D220">
        <v>39.438220000000001</v>
      </c>
    </row>
    <row r="221" spans="1:4" x14ac:dyDescent="0.25">
      <c r="A221">
        <v>217</v>
      </c>
      <c r="B221">
        <v>201.74131</v>
      </c>
      <c r="C221">
        <v>43.045569999999998</v>
      </c>
      <c r="D221">
        <v>41.603340000000003</v>
      </c>
    </row>
    <row r="222" spans="1:4" x14ac:dyDescent="0.25">
      <c r="A222">
        <v>218</v>
      </c>
      <c r="B222">
        <v>260.50903</v>
      </c>
      <c r="C222">
        <v>38.442790000000002</v>
      </c>
      <c r="D222">
        <v>41.090539999999997</v>
      </c>
    </row>
    <row r="223" spans="1:4" x14ac:dyDescent="0.25">
      <c r="A223">
        <v>219</v>
      </c>
      <c r="B223">
        <v>259.32900000000001</v>
      </c>
      <c r="C223">
        <v>36.137059999999998</v>
      </c>
      <c r="D223">
        <v>26.766190000000002</v>
      </c>
    </row>
    <row r="224" spans="1:4" x14ac:dyDescent="0.25">
      <c r="A224">
        <v>220</v>
      </c>
      <c r="B224">
        <v>219.48676</v>
      </c>
      <c r="C224">
        <v>34.073689999999999</v>
      </c>
      <c r="D224">
        <v>30.1784</v>
      </c>
    </row>
    <row r="225" spans="1:4" x14ac:dyDescent="0.25">
      <c r="A225">
        <v>221</v>
      </c>
      <c r="B225">
        <v>172.08770000000001</v>
      </c>
      <c r="C225">
        <v>25.441669999999998</v>
      </c>
      <c r="D225">
        <v>32.003459999999997</v>
      </c>
    </row>
    <row r="226" spans="1:4" x14ac:dyDescent="0.25">
      <c r="A226">
        <v>222</v>
      </c>
      <c r="B226">
        <v>166.88</v>
      </c>
      <c r="C226">
        <v>31.724740000000001</v>
      </c>
      <c r="D226">
        <v>32.157710000000002</v>
      </c>
    </row>
    <row r="227" spans="1:4" x14ac:dyDescent="0.25">
      <c r="A227">
        <v>223</v>
      </c>
      <c r="B227">
        <v>163.36994000000001</v>
      </c>
      <c r="C227">
        <v>38.466290000000001</v>
      </c>
      <c r="D227">
        <v>35.923639999999999</v>
      </c>
    </row>
    <row r="228" spans="1:4" x14ac:dyDescent="0.25">
      <c r="A228">
        <v>224</v>
      </c>
      <c r="B228">
        <v>141.81494000000001</v>
      </c>
      <c r="C228">
        <v>38.037959999999998</v>
      </c>
      <c r="D228">
        <v>36.862169999999999</v>
      </c>
    </row>
    <row r="229" spans="1:4" x14ac:dyDescent="0.25">
      <c r="A229">
        <v>225</v>
      </c>
      <c r="B229">
        <v>150.33038999999999</v>
      </c>
      <c r="C229">
        <v>45.019010000000002</v>
      </c>
      <c r="D229">
        <v>39.288110000000003</v>
      </c>
    </row>
    <row r="230" spans="1:4" x14ac:dyDescent="0.25">
      <c r="A230">
        <v>226</v>
      </c>
      <c r="B230">
        <v>168.60185999999999</v>
      </c>
      <c r="C230">
        <v>60.216700000000003</v>
      </c>
      <c r="D230">
        <v>35.885399999999997</v>
      </c>
    </row>
    <row r="231" spans="1:4" x14ac:dyDescent="0.25">
      <c r="A231">
        <v>227</v>
      </c>
      <c r="B231">
        <v>158.70975000000001</v>
      </c>
      <c r="C231">
        <v>56.59281</v>
      </c>
      <c r="D231">
        <v>40.620080000000002</v>
      </c>
    </row>
    <row r="232" spans="1:4" x14ac:dyDescent="0.25">
      <c r="A232">
        <v>228</v>
      </c>
      <c r="B232">
        <v>127.60371000000001</v>
      </c>
      <c r="C232">
        <v>56.358289999999997</v>
      </c>
      <c r="D232">
        <v>37.236649999999997</v>
      </c>
    </row>
    <row r="233" spans="1:4" x14ac:dyDescent="0.25">
      <c r="A233">
        <v>229</v>
      </c>
      <c r="B233">
        <v>130.36365000000001</v>
      </c>
      <c r="C233">
        <v>64.92277</v>
      </c>
      <c r="D233">
        <v>38.44697</v>
      </c>
    </row>
    <row r="234" spans="1:4" x14ac:dyDescent="0.25">
      <c r="A234">
        <v>230</v>
      </c>
      <c r="B234">
        <v>100.81440000000001</v>
      </c>
      <c r="C234">
        <v>55.386319999999998</v>
      </c>
      <c r="D234">
        <v>37.71698</v>
      </c>
    </row>
    <row r="235" spans="1:4" x14ac:dyDescent="0.25">
      <c r="A235">
        <v>231</v>
      </c>
      <c r="B235">
        <v>120.32503</v>
      </c>
      <c r="C235">
        <v>65.177130000000005</v>
      </c>
      <c r="D235">
        <v>32.925609999999999</v>
      </c>
    </row>
    <row r="236" spans="1:4" x14ac:dyDescent="0.25">
      <c r="A236">
        <v>232</v>
      </c>
      <c r="B236">
        <v>128.61532</v>
      </c>
      <c r="C236">
        <v>74.911709999999999</v>
      </c>
      <c r="D236">
        <v>34.553849999999997</v>
      </c>
    </row>
    <row r="237" spans="1:4" x14ac:dyDescent="0.25">
      <c r="A237">
        <v>233</v>
      </c>
      <c r="B237">
        <v>145.63377</v>
      </c>
      <c r="C237">
        <v>68.763270000000006</v>
      </c>
      <c r="D237">
        <v>28.970970000000001</v>
      </c>
    </row>
    <row r="238" spans="1:4" x14ac:dyDescent="0.25">
      <c r="A238">
        <v>234</v>
      </c>
      <c r="B238">
        <v>148.02218999999999</v>
      </c>
      <c r="C238">
        <v>73.988770000000002</v>
      </c>
      <c r="D238">
        <v>27.52253</v>
      </c>
    </row>
    <row r="239" spans="1:4" x14ac:dyDescent="0.25">
      <c r="A239">
        <v>235</v>
      </c>
      <c r="B239">
        <v>152.18285</v>
      </c>
      <c r="C239">
        <v>80.154870000000003</v>
      </c>
      <c r="D239">
        <v>19.34477</v>
      </c>
    </row>
    <row r="240" spans="1:4" x14ac:dyDescent="0.25">
      <c r="A240">
        <v>236</v>
      </c>
      <c r="B240">
        <v>155.19654</v>
      </c>
      <c r="C240">
        <v>84.950860000000006</v>
      </c>
      <c r="D240">
        <v>62.944499999999998</v>
      </c>
    </row>
    <row r="241" spans="1:4" x14ac:dyDescent="0.25">
      <c r="A241">
        <v>237</v>
      </c>
      <c r="B241">
        <v>180.71687</v>
      </c>
      <c r="C241">
        <v>67.962980000000002</v>
      </c>
      <c r="D241">
        <v>202.15607</v>
      </c>
    </row>
    <row r="242" spans="1:4" x14ac:dyDescent="0.25">
      <c r="A242">
        <v>238</v>
      </c>
      <c r="B242">
        <v>199.5395</v>
      </c>
      <c r="C242">
        <v>96.722120000000004</v>
      </c>
      <c r="D242">
        <v>198.40337</v>
      </c>
    </row>
    <row r="243" spans="1:4" x14ac:dyDescent="0.25">
      <c r="A243">
        <v>239</v>
      </c>
      <c r="B243">
        <v>201.45793</v>
      </c>
      <c r="C243">
        <v>250.39238</v>
      </c>
      <c r="D243">
        <v>91.998459999999994</v>
      </c>
    </row>
    <row r="244" spans="1:4" x14ac:dyDescent="0.25">
      <c r="A244">
        <v>240</v>
      </c>
      <c r="B244">
        <v>230.79832999999999</v>
      </c>
      <c r="C244">
        <v>144.34352000000001</v>
      </c>
      <c r="D244">
        <v>60.268450000000001</v>
      </c>
    </row>
    <row r="245" spans="1:4" x14ac:dyDescent="0.25">
      <c r="A245">
        <v>241</v>
      </c>
      <c r="B245">
        <v>205.97721999999999</v>
      </c>
      <c r="C245">
        <v>76.760239999999996</v>
      </c>
      <c r="D245">
        <v>58.674970000000002</v>
      </c>
    </row>
    <row r="246" spans="1:4" x14ac:dyDescent="0.25">
      <c r="A246">
        <v>242</v>
      </c>
      <c r="B246">
        <v>201.23191</v>
      </c>
      <c r="C246">
        <v>66.801259999999999</v>
      </c>
      <c r="D246">
        <v>49.875770000000003</v>
      </c>
    </row>
    <row r="247" spans="1:4" x14ac:dyDescent="0.25">
      <c r="A247">
        <v>243</v>
      </c>
      <c r="B247">
        <v>213.24384000000001</v>
      </c>
      <c r="C247">
        <v>52.341090000000001</v>
      </c>
      <c r="D247">
        <v>41.479880000000001</v>
      </c>
    </row>
    <row r="248" spans="1:4" x14ac:dyDescent="0.25">
      <c r="A248">
        <v>244</v>
      </c>
      <c r="B248">
        <v>205.88471000000001</v>
      </c>
      <c r="C248">
        <v>43.77393</v>
      </c>
      <c r="D248">
        <v>37.556939999999997</v>
      </c>
    </row>
    <row r="249" spans="1:4" x14ac:dyDescent="0.25">
      <c r="A249">
        <v>245</v>
      </c>
      <c r="B249">
        <v>237.68088</v>
      </c>
      <c r="C249">
        <v>44.5045</v>
      </c>
      <c r="D249">
        <v>33.325240000000001</v>
      </c>
    </row>
    <row r="250" spans="1:4" x14ac:dyDescent="0.25">
      <c r="A250">
        <v>246</v>
      </c>
      <c r="B250">
        <v>245.30617000000001</v>
      </c>
      <c r="C250">
        <v>41.231409999999997</v>
      </c>
      <c r="D250">
        <v>33.309780000000003</v>
      </c>
    </row>
    <row r="251" spans="1:4" x14ac:dyDescent="0.25">
      <c r="A251">
        <v>247</v>
      </c>
      <c r="B251">
        <v>206.60781</v>
      </c>
      <c r="C251">
        <v>36.249980000000001</v>
      </c>
      <c r="D251">
        <v>32.165939999999999</v>
      </c>
    </row>
    <row r="252" spans="1:4" x14ac:dyDescent="0.25">
      <c r="A252">
        <v>248</v>
      </c>
      <c r="B252">
        <v>182.74297999999999</v>
      </c>
      <c r="C252">
        <v>35.34957</v>
      </c>
      <c r="D252">
        <v>31.588139999999999</v>
      </c>
    </row>
    <row r="253" spans="1:4" x14ac:dyDescent="0.25">
      <c r="A253">
        <v>249</v>
      </c>
      <c r="B253">
        <v>151.71780000000001</v>
      </c>
      <c r="C253">
        <v>35.290370000000003</v>
      </c>
      <c r="D253">
        <v>34.656039999999997</v>
      </c>
    </row>
    <row r="254" spans="1:4" x14ac:dyDescent="0.25">
      <c r="A254">
        <v>250</v>
      </c>
      <c r="B254">
        <v>146.1781</v>
      </c>
      <c r="C254">
        <v>36.070219999999999</v>
      </c>
      <c r="D254">
        <v>33.871180000000003</v>
      </c>
    </row>
    <row r="255" spans="1:4" x14ac:dyDescent="0.25">
      <c r="A255">
        <v>251</v>
      </c>
      <c r="B255">
        <v>142.60597000000001</v>
      </c>
      <c r="C255">
        <v>38.05283</v>
      </c>
      <c r="D255">
        <v>37.328989999999997</v>
      </c>
    </row>
    <row r="256" spans="1:4" x14ac:dyDescent="0.25">
      <c r="A256">
        <v>252</v>
      </c>
      <c r="B256">
        <v>132.16399000000001</v>
      </c>
      <c r="C256">
        <v>36.701250000000002</v>
      </c>
      <c r="D256">
        <v>37.866660000000003</v>
      </c>
    </row>
    <row r="257" spans="1:4" x14ac:dyDescent="0.25">
      <c r="A257">
        <v>253</v>
      </c>
      <c r="B257">
        <v>160.43732</v>
      </c>
      <c r="C257">
        <v>39.980319999999999</v>
      </c>
      <c r="D257">
        <v>46.595570000000002</v>
      </c>
    </row>
    <row r="258" spans="1:4" x14ac:dyDescent="0.25">
      <c r="A258">
        <v>254</v>
      </c>
      <c r="B258">
        <v>151.48938999999999</v>
      </c>
      <c r="C258">
        <v>46.930219999999998</v>
      </c>
      <c r="D258">
        <v>43.7547</v>
      </c>
    </row>
    <row r="259" spans="1:4" x14ac:dyDescent="0.25">
      <c r="A259">
        <v>255</v>
      </c>
      <c r="B259">
        <v>145.16603000000001</v>
      </c>
      <c r="C259">
        <v>58.119750000000003</v>
      </c>
      <c r="D259">
        <v>49.893729999999998</v>
      </c>
    </row>
    <row r="260" spans="1:4" x14ac:dyDescent="0.25">
      <c r="A260">
        <v>256</v>
      </c>
      <c r="B260">
        <v>150.21321</v>
      </c>
      <c r="C260">
        <v>86.936570000000003</v>
      </c>
      <c r="D260">
        <v>53.920250000000003</v>
      </c>
    </row>
    <row r="261" spans="1:4" x14ac:dyDescent="0.25">
      <c r="A261">
        <v>257</v>
      </c>
      <c r="B261">
        <v>135.31989999999999</v>
      </c>
      <c r="C261">
        <v>76.979259999999996</v>
      </c>
      <c r="D261">
        <v>60.703420000000001</v>
      </c>
    </row>
    <row r="262" spans="1:4" x14ac:dyDescent="0.25">
      <c r="A262">
        <v>258</v>
      </c>
      <c r="B262">
        <v>137.45929000000001</v>
      </c>
      <c r="C262">
        <v>69.248459999999994</v>
      </c>
      <c r="D262">
        <v>50.020519999999998</v>
      </c>
    </row>
    <row r="263" spans="1:4" x14ac:dyDescent="0.25">
      <c r="A263">
        <v>259</v>
      </c>
      <c r="B263">
        <v>161.35381000000001</v>
      </c>
      <c r="C263">
        <v>75.429730000000006</v>
      </c>
      <c r="D263">
        <v>52.533499999999997</v>
      </c>
    </row>
    <row r="264" spans="1:4" x14ac:dyDescent="0.25">
      <c r="A264">
        <v>260</v>
      </c>
      <c r="B264">
        <v>127.27743</v>
      </c>
      <c r="C264">
        <v>85.659970000000001</v>
      </c>
      <c r="D264">
        <v>50.546700000000001</v>
      </c>
    </row>
    <row r="265" spans="1:4" x14ac:dyDescent="0.25">
      <c r="A265">
        <v>261</v>
      </c>
      <c r="B265">
        <v>143.33636999999999</v>
      </c>
      <c r="C265">
        <v>92.110839999999996</v>
      </c>
      <c r="D265">
        <v>52.499279999999999</v>
      </c>
    </row>
    <row r="266" spans="1:4" x14ac:dyDescent="0.25">
      <c r="A266">
        <v>262</v>
      </c>
      <c r="B266">
        <v>183.76557</v>
      </c>
      <c r="C266">
        <v>64.246709999999993</v>
      </c>
      <c r="D266">
        <v>33.833240000000004</v>
      </c>
    </row>
    <row r="267" spans="1:4" x14ac:dyDescent="0.25">
      <c r="A267">
        <v>263</v>
      </c>
      <c r="B267">
        <v>175.52776</v>
      </c>
      <c r="C267">
        <v>63.256749999999997</v>
      </c>
      <c r="D267">
        <v>223.55850000000001</v>
      </c>
    </row>
    <row r="268" spans="1:4" x14ac:dyDescent="0.25">
      <c r="A268">
        <v>264</v>
      </c>
      <c r="B268">
        <v>164.80076</v>
      </c>
      <c r="C268">
        <v>28.710640000000001</v>
      </c>
      <c r="D268">
        <v>218.62581</v>
      </c>
    </row>
    <row r="269" spans="1:4" x14ac:dyDescent="0.25">
      <c r="A269">
        <v>265</v>
      </c>
      <c r="B269">
        <v>147.51648</v>
      </c>
      <c r="C269">
        <v>224.46351999999999</v>
      </c>
      <c r="D269">
        <v>106.68001</v>
      </c>
    </row>
    <row r="270" spans="1:4" x14ac:dyDescent="0.25">
      <c r="A270">
        <v>266</v>
      </c>
      <c r="B270">
        <v>140.95984999999999</v>
      </c>
      <c r="C270">
        <v>145.65541999999999</v>
      </c>
      <c r="D270">
        <v>74.026809999999998</v>
      </c>
    </row>
    <row r="271" spans="1:4" x14ac:dyDescent="0.25">
      <c r="A271">
        <v>267</v>
      </c>
      <c r="B271">
        <v>150.43828999999999</v>
      </c>
      <c r="C271">
        <v>74.546880000000002</v>
      </c>
      <c r="D271">
        <v>70.127489999999995</v>
      </c>
    </row>
    <row r="272" spans="1:4" x14ac:dyDescent="0.25">
      <c r="A272">
        <v>268</v>
      </c>
      <c r="B272">
        <v>188.88664</v>
      </c>
      <c r="C272">
        <v>60.767069999999997</v>
      </c>
      <c r="D272">
        <v>42.019829999999999</v>
      </c>
    </row>
    <row r="273" spans="1:4" x14ac:dyDescent="0.25">
      <c r="A273">
        <v>269</v>
      </c>
      <c r="B273">
        <v>158.07634999999999</v>
      </c>
      <c r="C273">
        <v>40.316330000000001</v>
      </c>
      <c r="D273">
        <v>34.157049999999998</v>
      </c>
    </row>
    <row r="274" spans="1:4" x14ac:dyDescent="0.25">
      <c r="A274">
        <v>270</v>
      </c>
      <c r="B274">
        <v>174.68261999999999</v>
      </c>
      <c r="C274">
        <v>33.779260000000001</v>
      </c>
      <c r="D274">
        <v>37.532069999999997</v>
      </c>
    </row>
    <row r="275" spans="1:4" x14ac:dyDescent="0.25">
      <c r="A275">
        <v>271</v>
      </c>
      <c r="B275">
        <v>147.09792999999999</v>
      </c>
      <c r="C275">
        <v>35.739609999999999</v>
      </c>
      <c r="D275">
        <v>40.112139999999997</v>
      </c>
    </row>
    <row r="276" spans="1:4" x14ac:dyDescent="0.25">
      <c r="A276">
        <v>272</v>
      </c>
      <c r="B276">
        <v>216.04102</v>
      </c>
      <c r="C276">
        <v>32.883470000000003</v>
      </c>
      <c r="D276">
        <v>47.628309999999999</v>
      </c>
    </row>
    <row r="277" spans="1:4" x14ac:dyDescent="0.25">
      <c r="A277">
        <v>273</v>
      </c>
      <c r="B277">
        <v>302.76970999999998</v>
      </c>
      <c r="C277">
        <v>24.004349999999999</v>
      </c>
      <c r="D277">
        <v>49.225670000000001</v>
      </c>
    </row>
    <row r="278" spans="1:4" x14ac:dyDescent="0.25">
      <c r="A278">
        <v>274</v>
      </c>
      <c r="B278">
        <v>230.58181999999999</v>
      </c>
      <c r="C278">
        <v>30.40849</v>
      </c>
      <c r="D278">
        <v>46.505549999999999</v>
      </c>
    </row>
    <row r="279" spans="1:4" x14ac:dyDescent="0.25">
      <c r="A279">
        <v>275</v>
      </c>
      <c r="B279">
        <v>178.38711000000001</v>
      </c>
      <c r="C279">
        <v>27.858540000000001</v>
      </c>
      <c r="D279">
        <v>51.0261</v>
      </c>
    </row>
    <row r="280" spans="1:4" x14ac:dyDescent="0.25">
      <c r="A280">
        <v>276</v>
      </c>
      <c r="B280">
        <v>168.40114</v>
      </c>
      <c r="C280">
        <v>31.330570000000002</v>
      </c>
      <c r="D280">
        <v>43.27149</v>
      </c>
    </row>
    <row r="281" spans="1:4" x14ac:dyDescent="0.25">
      <c r="A281">
        <v>277</v>
      </c>
      <c r="B281">
        <v>183.37531000000001</v>
      </c>
      <c r="C281">
        <v>31.948560000000001</v>
      </c>
      <c r="D281">
        <v>53.679270000000002</v>
      </c>
    </row>
    <row r="282" spans="1:4" x14ac:dyDescent="0.25">
      <c r="A282">
        <v>278</v>
      </c>
      <c r="B282">
        <v>155.09915000000001</v>
      </c>
      <c r="C282">
        <v>31.182320000000001</v>
      </c>
      <c r="D282">
        <v>64.773650000000004</v>
      </c>
    </row>
    <row r="283" spans="1:4" x14ac:dyDescent="0.25">
      <c r="A283">
        <v>279</v>
      </c>
      <c r="B283">
        <v>142.31475</v>
      </c>
      <c r="C283">
        <v>38.141660000000002</v>
      </c>
      <c r="D283">
        <v>79.387339999999995</v>
      </c>
    </row>
    <row r="284" spans="1:4" x14ac:dyDescent="0.25">
      <c r="A284">
        <v>280</v>
      </c>
      <c r="B284">
        <v>159.12969000000001</v>
      </c>
      <c r="C284">
        <v>47.170810000000003</v>
      </c>
      <c r="D284">
        <v>86.14546</v>
      </c>
    </row>
    <row r="285" spans="1:4" x14ac:dyDescent="0.25">
      <c r="A285">
        <v>281</v>
      </c>
      <c r="B285">
        <v>150.63749000000001</v>
      </c>
      <c r="C285">
        <v>57.945900000000002</v>
      </c>
      <c r="D285">
        <v>89.938370000000006</v>
      </c>
    </row>
    <row r="286" spans="1:4" x14ac:dyDescent="0.25">
      <c r="A286">
        <v>282</v>
      </c>
      <c r="B286">
        <v>130.27054999999999</v>
      </c>
      <c r="C286">
        <v>72.625900000000001</v>
      </c>
      <c r="D286">
        <v>96.460909999999998</v>
      </c>
    </row>
    <row r="287" spans="1:4" x14ac:dyDescent="0.25">
      <c r="A287">
        <v>283</v>
      </c>
      <c r="B287">
        <v>151.34458000000001</v>
      </c>
      <c r="C287">
        <v>75.502390000000005</v>
      </c>
      <c r="D287">
        <v>105.083</v>
      </c>
    </row>
    <row r="288" spans="1:4" x14ac:dyDescent="0.25">
      <c r="A288">
        <v>284</v>
      </c>
      <c r="B288">
        <v>149.42391000000001</v>
      </c>
      <c r="C288">
        <v>62.861829999999998</v>
      </c>
      <c r="D288">
        <v>119.39534</v>
      </c>
    </row>
    <row r="289" spans="1:4" x14ac:dyDescent="0.25">
      <c r="A289">
        <v>285</v>
      </c>
      <c r="B289">
        <v>136.21880999999999</v>
      </c>
      <c r="C289">
        <v>62.439</v>
      </c>
      <c r="D289">
        <v>122.01371</v>
      </c>
    </row>
    <row r="290" spans="1:4" x14ac:dyDescent="0.25">
      <c r="A290">
        <v>286</v>
      </c>
      <c r="B290">
        <v>158.52967000000001</v>
      </c>
      <c r="C290">
        <v>68.998459999999994</v>
      </c>
      <c r="D290">
        <v>122.43848</v>
      </c>
    </row>
    <row r="291" spans="1:4" x14ac:dyDescent="0.25">
      <c r="A291">
        <v>287</v>
      </c>
      <c r="B291">
        <v>126.19182000000001</v>
      </c>
      <c r="C291">
        <v>73.555840000000003</v>
      </c>
      <c r="D291">
        <v>132.99589</v>
      </c>
    </row>
    <row r="292" spans="1:4" x14ac:dyDescent="0.25">
      <c r="A292">
        <v>288</v>
      </c>
      <c r="B292">
        <v>129.42693</v>
      </c>
      <c r="C292">
        <v>71.208010000000002</v>
      </c>
      <c r="D292">
        <v>192.22856999999999</v>
      </c>
    </row>
    <row r="293" spans="1:4" x14ac:dyDescent="0.25">
      <c r="A293">
        <v>289</v>
      </c>
      <c r="B293">
        <v>160.57208</v>
      </c>
      <c r="C293">
        <v>65.324259999999995</v>
      </c>
      <c r="D293">
        <v>290.98608000000002</v>
      </c>
    </row>
    <row r="294" spans="1:4" x14ac:dyDescent="0.25">
      <c r="A294">
        <v>290</v>
      </c>
      <c r="B294">
        <v>142.99435</v>
      </c>
      <c r="C294">
        <v>70.646879999999996</v>
      </c>
      <c r="D294">
        <v>163.54956000000001</v>
      </c>
    </row>
    <row r="295" spans="1:4" x14ac:dyDescent="0.25">
      <c r="A295">
        <v>291</v>
      </c>
      <c r="B295">
        <v>162.04012</v>
      </c>
      <c r="C295">
        <v>136.01627999999999</v>
      </c>
      <c r="D295">
        <v>150.60910000000001</v>
      </c>
    </row>
    <row r="296" spans="1:4" x14ac:dyDescent="0.25">
      <c r="A296">
        <v>292</v>
      </c>
      <c r="B296">
        <v>202.88693000000001</v>
      </c>
      <c r="C296">
        <v>225.17841000000001</v>
      </c>
      <c r="D296">
        <v>150.26985999999999</v>
      </c>
    </row>
    <row r="297" spans="1:4" x14ac:dyDescent="0.25">
      <c r="A297">
        <v>293</v>
      </c>
      <c r="B297">
        <v>146.74964</v>
      </c>
      <c r="C297">
        <v>96.836200000000005</v>
      </c>
      <c r="D297">
        <v>148.34828999999999</v>
      </c>
    </row>
    <row r="298" spans="1:4" x14ac:dyDescent="0.25">
      <c r="A298">
        <v>294</v>
      </c>
      <c r="B298">
        <v>161.15385000000001</v>
      </c>
      <c r="C298">
        <v>69.076210000000003</v>
      </c>
      <c r="D298">
        <v>158.61895999999999</v>
      </c>
    </row>
    <row r="299" spans="1:4" x14ac:dyDescent="0.25">
      <c r="A299">
        <v>295</v>
      </c>
      <c r="B299">
        <v>179.03968</v>
      </c>
      <c r="C299">
        <v>57.302819999999997</v>
      </c>
      <c r="D299">
        <v>155.48739</v>
      </c>
    </row>
    <row r="300" spans="1:4" x14ac:dyDescent="0.25">
      <c r="A300">
        <v>296</v>
      </c>
      <c r="B300">
        <v>130.54426000000001</v>
      </c>
      <c r="C300">
        <v>43.385719999999999</v>
      </c>
      <c r="D300">
        <v>159.54158000000001</v>
      </c>
    </row>
    <row r="301" spans="1:4" x14ac:dyDescent="0.25">
      <c r="A301">
        <v>297</v>
      </c>
      <c r="B301">
        <v>123.21162</v>
      </c>
      <c r="C301">
        <v>51.603969999999997</v>
      </c>
      <c r="D301">
        <v>161.3023</v>
      </c>
    </row>
    <row r="302" spans="1:4" x14ac:dyDescent="0.25">
      <c r="A302">
        <v>298</v>
      </c>
      <c r="B302">
        <v>135.81550999999999</v>
      </c>
      <c r="C302">
        <v>25.719629999999999</v>
      </c>
      <c r="D302">
        <v>167.02105</v>
      </c>
    </row>
    <row r="303" spans="1:4" x14ac:dyDescent="0.25">
      <c r="A303">
        <v>299</v>
      </c>
      <c r="B303">
        <v>105.15819</v>
      </c>
      <c r="C303">
        <v>32.479179999999999</v>
      </c>
      <c r="D303">
        <v>177.82035999999999</v>
      </c>
    </row>
    <row r="304" spans="1:4" x14ac:dyDescent="0.25">
      <c r="A304">
        <v>300</v>
      </c>
      <c r="B304">
        <v>88.418480000000002</v>
      </c>
      <c r="C304">
        <v>34.479999999999997</v>
      </c>
      <c r="D304">
        <v>164.11132000000001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zoomScaleNormal="100" workbookViewId="0"/>
  </sheetViews>
  <sheetFormatPr defaultColWidth="8.7109375" defaultRowHeight="15" x14ac:dyDescent="0.25"/>
  <cols>
    <col min="1" max="7" width="20" customWidth="1"/>
  </cols>
  <sheetData>
    <row r="1" spans="1:7" ht="16.5" x14ac:dyDescent="0.25">
      <c r="A1" s="1" t="s">
        <v>54</v>
      </c>
    </row>
    <row r="3" spans="1:7" x14ac:dyDescent="0.25">
      <c r="A3" s="3" t="s">
        <v>36</v>
      </c>
    </row>
    <row r="4" spans="1:7" x14ac:dyDescent="0.25">
      <c r="A4" s="4" t="s">
        <v>37</v>
      </c>
      <c r="B4" s="4" t="s">
        <v>38</v>
      </c>
      <c r="C4" s="4" t="s">
        <v>39</v>
      </c>
      <c r="D4" s="4" t="s">
        <v>40</v>
      </c>
      <c r="E4" s="4" t="s">
        <v>41</v>
      </c>
    </row>
    <row r="5" spans="1:7" x14ac:dyDescent="0.25">
      <c r="A5" t="s">
        <v>32</v>
      </c>
      <c r="B5">
        <f>COUNT(Download_RawData!B5:B304)</f>
        <v>300</v>
      </c>
      <c r="C5" s="5">
        <f>SUM(Download_RawData!B5:B304)</f>
        <v>49147.453500000018</v>
      </c>
      <c r="D5" s="5">
        <f>AVERAGE(Download_RawData!B5:B304)</f>
        <v>163.82484500000007</v>
      </c>
      <c r="E5" s="5">
        <f>_xlfn.VAR.S(Download_RawData!B5:B304)</f>
        <v>1514.0648143036558</v>
      </c>
    </row>
    <row r="6" spans="1:7" x14ac:dyDescent="0.25">
      <c r="A6" t="s">
        <v>33</v>
      </c>
      <c r="B6">
        <f>COUNT(Download_RawData!C5:C304)</f>
        <v>300</v>
      </c>
      <c r="C6" s="5">
        <f>SUM(Download_RawData!C5:C304)</f>
        <v>17778.345310000008</v>
      </c>
      <c r="D6" s="5">
        <f>AVERAGE(Download_RawData!C5:C304)</f>
        <v>59.261151033333363</v>
      </c>
      <c r="E6" s="5">
        <f>_xlfn.VAR.S(Download_RawData!C5:C304)</f>
        <v>2052.8758336664605</v>
      </c>
    </row>
    <row r="7" spans="1:7" x14ac:dyDescent="0.25">
      <c r="A7" t="s">
        <v>34</v>
      </c>
      <c r="B7">
        <f>COUNT(Download_RawData!D5:D304)</f>
        <v>300</v>
      </c>
      <c r="C7" s="5">
        <f>SUM(Download_RawData!D5:D304)</f>
        <v>23964.14452999999</v>
      </c>
      <c r="D7" s="5">
        <f>AVERAGE(Download_RawData!D5:D304)</f>
        <v>79.880481766666634</v>
      </c>
      <c r="E7" s="5">
        <f>_xlfn.VAR.S(Download_RawData!D5:D304)</f>
        <v>2769.5558198222161</v>
      </c>
    </row>
    <row r="9" spans="1:7" x14ac:dyDescent="0.25">
      <c r="A9" s="3" t="s">
        <v>42</v>
      </c>
    </row>
    <row r="10" spans="1:7" x14ac:dyDescent="0.25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</row>
    <row r="11" spans="1:7" x14ac:dyDescent="0.25">
      <c r="A11" t="s">
        <v>50</v>
      </c>
      <c r="B11" s="5">
        <f>B5*(D5-((C5+C6+C7)/(B5+B6+B7)))^2+B6*(D6-((C5+C6+C7)/(B5+B6+B7)))^2+B7*(D7-((C5+C6+C7)/(B5+B6+B7)))^2</f>
        <v>1840537.9014495136</v>
      </c>
      <c r="C11">
        <v>2</v>
      </c>
      <c r="D11" s="5">
        <f>B11/C11</f>
        <v>920268.95072475681</v>
      </c>
      <c r="E11" s="6">
        <f>D11/D12</f>
        <v>435.69926476044412</v>
      </c>
      <c r="F11" s="7">
        <f>_xlfn.F.DIST.RT(E11,C11,C12)</f>
        <v>6.1336024812518417E-133</v>
      </c>
      <c r="G11" s="6">
        <f>_xlfn.F.INV.RT(0.05,C11,C12)</f>
        <v>3.0057595050333341</v>
      </c>
    </row>
    <row r="12" spans="1:7" x14ac:dyDescent="0.25">
      <c r="A12" t="s">
        <v>51</v>
      </c>
      <c r="B12" s="5">
        <f>(B5-1)*E5+(B6-1)*E6+(B7-1)*E7</f>
        <v>1894612.4438699074</v>
      </c>
      <c r="C12">
        <f>(B5+B6+B7)-3</f>
        <v>897</v>
      </c>
      <c r="D12" s="5">
        <f>B12/C12</f>
        <v>2112.1654892641109</v>
      </c>
    </row>
    <row r="13" spans="1:7" x14ac:dyDescent="0.25">
      <c r="A13" t="s">
        <v>52</v>
      </c>
      <c r="B13" s="5">
        <f>B11+B12</f>
        <v>3735150.345319421</v>
      </c>
      <c r="C13">
        <f>(B5+B6+B7)-1</f>
        <v>899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README_Notes</vt:lpstr>
      <vt:lpstr>Anova-Upload-Paper10</vt:lpstr>
      <vt:lpstr>Upload_RawData</vt:lpstr>
      <vt:lpstr>Upload_ANOVA</vt:lpstr>
      <vt:lpstr>Anova-dwl-ppr10</vt:lpstr>
      <vt:lpstr>Download_RawData</vt:lpstr>
      <vt:lpstr>Download_ANOVA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Ahsan</cp:lastModifiedBy>
  <cp:revision>0</cp:revision>
  <dcterms:created xsi:type="dcterms:W3CDTF">2026-09-17T17:27:40Z</dcterms:created>
  <dcterms:modified xsi:type="dcterms:W3CDTF">2026-09-18T02:54:50Z</dcterms:modified>
  <dc:language>en-US</dc:language>
</cp:coreProperties>
</file>