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&amp;8&amp;9 data\paper 10   Pending submission-results-pics are in svg format\Anova test\"/>
    </mc:Choice>
  </mc:AlternateContent>
  <xr:revisionPtr revIDLastSave="0" documentId="13_ncr:1_{7CCF05CF-60C9-4408-A988-C4F3685F956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Raw Data" sheetId="1" r:id="rId1"/>
    <sheet name="ANOVA Single Facto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2" l="1"/>
  <c r="E9" i="2"/>
  <c r="D9" i="2"/>
  <c r="C9" i="2"/>
  <c r="B9" i="2"/>
  <c r="E8" i="2"/>
  <c r="D8" i="2"/>
  <c r="C8" i="2"/>
  <c r="B8" i="2"/>
  <c r="E7" i="2"/>
  <c r="D7" i="2"/>
  <c r="C7" i="2"/>
  <c r="B7" i="2"/>
  <c r="B14" i="2" l="1"/>
  <c r="B13" i="2"/>
  <c r="C14" i="2"/>
  <c r="D13" i="2" l="1"/>
  <c r="B15" i="2"/>
  <c r="D14" i="2"/>
  <c r="C15" i="2"/>
  <c r="G13" i="2"/>
  <c r="E13" i="2" l="1"/>
  <c r="F13" i="2" s="1"/>
</calcChain>
</file>

<file path=xl/sharedStrings.xml><?xml version="1.0" encoding="utf-8"?>
<sst xmlns="http://schemas.openxmlformats.org/spreadsheetml/2006/main" count="28" uniqueCount="25">
  <si>
    <t>Sample Index</t>
  </si>
  <si>
    <t>Cubic - TCP Upload Sum (Mbps)</t>
  </si>
  <si>
    <t>BBR-v3 - TCP Upload Sum (Mbps)</t>
  </si>
  <si>
    <t>BBR-TAS (tas_s7_st8) - TCP Upload Sum (Mbps)</t>
  </si>
  <si>
    <t>BBR-TAS vs. BBR-v3 vs. Cubic — Single-Factor ANOVA on TCP Upload Sum (TCP upload - 8 streams w/ping)</t>
  </si>
  <si>
    <t>Source data: single representative run per configuration (cubic tcp_8up run 4, bbrv3 tcp_8up run 3, tas_s7_st8 tcp_8up run 5 -- the same three files used in the corresponding box-plot figure). All Summary and ANOVA values below are live formulas referencing the 'Raw Data' sheet.</t>
  </si>
  <si>
    <t>IMPORTANT: each group here is ~300 sequential 0.2s samples from a SINGLE 60s test run, not independent repeated trials. These samples are autocorrelated (pseudo-replication), which inflates the effective sample size and understates the true p-value below relative to what a test using independent repeated runs (n=5 per config) would show. Treat this ANOVA as an illustrative/descriptive statistic for this specific figure, not as the paper's primary significance claim -- the validated significance tests (Welch's t-test, n=5 independent runs per config) are reported in the main Results workbook.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</si>
  <si>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</si>
  <si>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</si>
  <si>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</si>
  <si>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</si>
  <si>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</si>
  <si>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</si>
  <si>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</si>
  <si>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</si>
  <si>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</si>
  <si>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</si>
  <si>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</si>
  <si>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</si>
  <si>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</si>
  <si>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</si>
  <si>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</si>
  <si>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</si>
  <si>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</si>
  <si>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Interpretation: F &gt; F crit and P-value &lt; 0.05 indicates the three groups' means differ by more than chance would predict, given the (autocorrelation-inflated) sample size noted above. This does not by itself indicate which pair(s) differ -- a post-hoc test (e.g., Tukey HSD) would be needed to localize the difference to a specific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</si>
</sst>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i/>
      <sz val="10"/>
      <color rgb="FF9C0006"/>
      <name val="Arial"/>
      <charset val="1"/>
    </font>
    <font>
      <b/>
      <sz val="11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6" fillId="0" borderId="0" xfId="0" applyFont="1"/>
    <xf numFmtId="1" fontId="2" fillId="0" borderId="1" xfId="0" applyNumberFormat="1" applyFont="1" applyBorder="1"/>
    <xf numFmtId="164" fontId="2" fillId="0" borderId="1" xfId="0" applyNumberFormat="1" applyFont="1" applyBorder="1"/>
    <xf numFmtId="11" fontId="2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3" width="26" customWidth="1"/>
    <col min="4" max="4" width="30" customWidth="1"/>
  </cols>
  <sheetData>
    <row r="1" spans="1:4" ht="30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6">
        <v>1</v>
      </c>
      <c r="B2" s="7">
        <v>319.68</v>
      </c>
      <c r="C2" s="7">
        <v>317.24</v>
      </c>
      <c r="D2" s="7">
        <v>357.79</v>
      </c>
    </row>
    <row r="3" spans="1:4" x14ac:dyDescent="0.25">
      <c r="A3" s="6">
        <v>2</v>
      </c>
      <c r="B3" s="7">
        <v>302.56649678131998</v>
      </c>
      <c r="C3" s="7">
        <v>415.28511290955299</v>
      </c>
      <c r="D3" s="7">
        <v>443.36148688034302</v>
      </c>
    </row>
    <row r="4" spans="1:4" x14ac:dyDescent="0.25">
      <c r="A4" s="6">
        <v>3</v>
      </c>
      <c r="B4" s="7">
        <v>250.73372555979901</v>
      </c>
      <c r="C4" s="7">
        <v>262.53514602359502</v>
      </c>
      <c r="D4" s="7">
        <v>258.86559959764298</v>
      </c>
    </row>
    <row r="5" spans="1:4" x14ac:dyDescent="0.25">
      <c r="A5" s="6">
        <v>4</v>
      </c>
      <c r="B5" s="7">
        <v>250.99684773431699</v>
      </c>
      <c r="C5" s="7">
        <v>248.886437279332</v>
      </c>
      <c r="D5" s="7">
        <v>242.02766040568699</v>
      </c>
    </row>
    <row r="6" spans="1:4" x14ac:dyDescent="0.25">
      <c r="A6" s="6">
        <v>5</v>
      </c>
      <c r="B6" s="7">
        <v>266.8457492311</v>
      </c>
      <c r="C6" s="7">
        <v>254.96350378624399</v>
      </c>
      <c r="D6" s="7">
        <v>233.04487713740801</v>
      </c>
    </row>
    <row r="7" spans="1:4" x14ac:dyDescent="0.25">
      <c r="A7" s="6">
        <v>6</v>
      </c>
      <c r="B7" s="7">
        <v>246.75861905340901</v>
      </c>
      <c r="C7" s="7">
        <v>258.534615580837</v>
      </c>
      <c r="D7" s="7">
        <v>214.885761393107</v>
      </c>
    </row>
    <row r="8" spans="1:4" x14ac:dyDescent="0.25">
      <c r="A8" s="6">
        <v>7</v>
      </c>
      <c r="B8" s="7">
        <v>234.12872051028199</v>
      </c>
      <c r="C8" s="7">
        <v>253.88446357960501</v>
      </c>
      <c r="D8" s="7">
        <v>211.835989578935</v>
      </c>
    </row>
    <row r="9" spans="1:4" x14ac:dyDescent="0.25">
      <c r="A9" s="6">
        <v>8</v>
      </c>
      <c r="B9" s="7">
        <v>235.00158825133701</v>
      </c>
      <c r="C9" s="7">
        <v>257.288244828823</v>
      </c>
      <c r="D9" s="7">
        <v>223.30839533080101</v>
      </c>
    </row>
    <row r="10" spans="1:4" x14ac:dyDescent="0.25">
      <c r="A10" s="6">
        <v>9</v>
      </c>
      <c r="B10" s="7">
        <v>247.48963272528701</v>
      </c>
      <c r="C10" s="7">
        <v>254.130178819885</v>
      </c>
      <c r="D10" s="7">
        <v>247.295266607499</v>
      </c>
    </row>
    <row r="11" spans="1:4" x14ac:dyDescent="0.25">
      <c r="A11" s="6">
        <v>10</v>
      </c>
      <c r="B11" s="7">
        <v>265.139111160141</v>
      </c>
      <c r="C11" s="7">
        <v>257.314118175305</v>
      </c>
      <c r="D11" s="7">
        <v>256.273051636204</v>
      </c>
    </row>
    <row r="12" spans="1:4" x14ac:dyDescent="0.25">
      <c r="A12" s="6">
        <v>11</v>
      </c>
      <c r="B12" s="7">
        <v>262.46085897530997</v>
      </c>
      <c r="C12" s="7">
        <v>259.41800385177601</v>
      </c>
      <c r="D12" s="7">
        <v>258.61835057722902</v>
      </c>
    </row>
    <row r="13" spans="1:4" x14ac:dyDescent="0.25">
      <c r="A13" s="6">
        <v>12</v>
      </c>
      <c r="B13" s="7">
        <v>267.38563096757701</v>
      </c>
      <c r="C13" s="7">
        <v>261.60145338669503</v>
      </c>
      <c r="D13" s="7">
        <v>260.71337614772398</v>
      </c>
    </row>
    <row r="14" spans="1:4" x14ac:dyDescent="0.25">
      <c r="A14" s="6">
        <v>13</v>
      </c>
      <c r="B14" s="7">
        <v>272.01487710235301</v>
      </c>
      <c r="C14" s="7">
        <v>262.60493004698702</v>
      </c>
      <c r="D14" s="7">
        <v>271.83181336289402</v>
      </c>
    </row>
    <row r="15" spans="1:4" x14ac:dyDescent="0.25">
      <c r="A15" s="6">
        <v>14</v>
      </c>
      <c r="B15" s="7">
        <v>272.34149326626903</v>
      </c>
      <c r="C15" s="7">
        <v>258.051079950879</v>
      </c>
      <c r="D15" s="7">
        <v>284.48477513289799</v>
      </c>
    </row>
    <row r="16" spans="1:4" x14ac:dyDescent="0.25">
      <c r="A16" s="6">
        <v>15</v>
      </c>
      <c r="B16" s="7">
        <v>269.11130407394398</v>
      </c>
      <c r="C16" s="7">
        <v>256.12276978204</v>
      </c>
      <c r="D16" s="7">
        <v>285.733779706512</v>
      </c>
    </row>
    <row r="17" spans="1:4" x14ac:dyDescent="0.25">
      <c r="A17" s="6">
        <v>16</v>
      </c>
      <c r="B17" s="7">
        <v>285.634752332414</v>
      </c>
      <c r="C17" s="7">
        <v>249.41641561430299</v>
      </c>
      <c r="D17" s="7">
        <v>269.93295645168001</v>
      </c>
    </row>
    <row r="18" spans="1:4" x14ac:dyDescent="0.25">
      <c r="A18" s="6">
        <v>17</v>
      </c>
      <c r="B18" s="7">
        <v>287.50675851470402</v>
      </c>
      <c r="C18" s="7">
        <v>250.50854217199699</v>
      </c>
      <c r="D18" s="7">
        <v>271.15944546396901</v>
      </c>
    </row>
    <row r="19" spans="1:4" x14ac:dyDescent="0.25">
      <c r="A19" s="6">
        <v>18</v>
      </c>
      <c r="B19" s="7">
        <v>240.55530488781801</v>
      </c>
      <c r="C19" s="7">
        <v>258.198905329485</v>
      </c>
      <c r="D19" s="7">
        <v>276.39187979630901</v>
      </c>
    </row>
    <row r="20" spans="1:4" x14ac:dyDescent="0.25">
      <c r="A20" s="6">
        <v>19</v>
      </c>
      <c r="B20" s="7">
        <v>274.38142558627197</v>
      </c>
      <c r="C20" s="7">
        <v>256.79922176990902</v>
      </c>
      <c r="D20" s="7">
        <v>276.26851007243999</v>
      </c>
    </row>
    <row r="21" spans="1:4" x14ac:dyDescent="0.25">
      <c r="A21" s="6">
        <v>20</v>
      </c>
      <c r="B21" s="7">
        <v>280.47732246756698</v>
      </c>
      <c r="C21" s="7">
        <v>256.23784102741803</v>
      </c>
      <c r="D21" s="7">
        <v>283.91833354847398</v>
      </c>
    </row>
    <row r="22" spans="1:4" x14ac:dyDescent="0.25">
      <c r="A22" s="6">
        <v>21</v>
      </c>
      <c r="B22" s="7">
        <v>276.18106478485703</v>
      </c>
      <c r="C22" s="7">
        <v>252.004646651879</v>
      </c>
      <c r="D22" s="7">
        <v>279.45798335923098</v>
      </c>
    </row>
    <row r="23" spans="1:4" x14ac:dyDescent="0.25">
      <c r="A23" s="6">
        <v>22</v>
      </c>
      <c r="B23" s="7">
        <v>269.81014007144898</v>
      </c>
      <c r="C23" s="7">
        <v>264.65252868479098</v>
      </c>
      <c r="D23" s="7">
        <v>266.107995644705</v>
      </c>
    </row>
    <row r="24" spans="1:4" x14ac:dyDescent="0.25">
      <c r="A24" s="6">
        <v>23</v>
      </c>
      <c r="B24" s="7">
        <v>261.97877172793801</v>
      </c>
      <c r="C24" s="7">
        <v>271.09808881754299</v>
      </c>
      <c r="D24" s="7">
        <v>252.42997146848899</v>
      </c>
    </row>
    <row r="25" spans="1:4" x14ac:dyDescent="0.25">
      <c r="A25" s="6">
        <v>24</v>
      </c>
      <c r="B25" s="7">
        <v>264.94606850094499</v>
      </c>
      <c r="C25" s="7">
        <v>250.765405066151</v>
      </c>
      <c r="D25" s="7">
        <v>252.58023639056501</v>
      </c>
    </row>
    <row r="26" spans="1:4" x14ac:dyDescent="0.25">
      <c r="A26" s="6">
        <v>25</v>
      </c>
      <c r="B26" s="7">
        <v>273.53168950124899</v>
      </c>
      <c r="C26" s="7">
        <v>243.544093867269</v>
      </c>
      <c r="D26" s="7">
        <v>264.464927253729</v>
      </c>
    </row>
    <row r="27" spans="1:4" x14ac:dyDescent="0.25">
      <c r="A27" s="6">
        <v>26</v>
      </c>
      <c r="B27" s="7">
        <v>272.88987266933401</v>
      </c>
      <c r="C27" s="7">
        <v>288.63867086849302</v>
      </c>
      <c r="D27" s="7">
        <v>256.14879880031702</v>
      </c>
    </row>
    <row r="28" spans="1:4" x14ac:dyDescent="0.25">
      <c r="A28" s="6">
        <v>27</v>
      </c>
      <c r="B28" s="7">
        <v>257.84760332315602</v>
      </c>
      <c r="C28" s="7">
        <v>255.30154920547201</v>
      </c>
      <c r="D28" s="7">
        <v>249.71815246401499</v>
      </c>
    </row>
    <row r="29" spans="1:4" x14ac:dyDescent="0.25">
      <c r="A29" s="6">
        <v>28</v>
      </c>
      <c r="B29" s="7">
        <v>259.66569353997897</v>
      </c>
      <c r="C29" s="7">
        <v>255.12917568857401</v>
      </c>
      <c r="D29" s="7">
        <v>257.65756183005902</v>
      </c>
    </row>
    <row r="30" spans="1:4" x14ac:dyDescent="0.25">
      <c r="A30" s="6">
        <v>29</v>
      </c>
      <c r="B30" s="7">
        <v>245.43034624091601</v>
      </c>
      <c r="C30" s="7">
        <v>270.02598987213997</v>
      </c>
      <c r="D30" s="7">
        <v>270.16938269268002</v>
      </c>
    </row>
    <row r="31" spans="1:4" x14ac:dyDescent="0.25">
      <c r="A31" s="6">
        <v>30</v>
      </c>
      <c r="B31" s="7">
        <v>256.97381804918399</v>
      </c>
      <c r="C31" s="7">
        <v>269.29356494913799</v>
      </c>
      <c r="D31" s="7">
        <v>271.13014859456001</v>
      </c>
    </row>
    <row r="32" spans="1:4" x14ac:dyDescent="0.25">
      <c r="A32" s="6">
        <v>31</v>
      </c>
      <c r="B32" s="7">
        <v>259.26256774124198</v>
      </c>
      <c r="C32" s="7">
        <v>255.118434054315</v>
      </c>
      <c r="D32" s="7">
        <v>260.38530295150002</v>
      </c>
    </row>
    <row r="33" spans="1:4" x14ac:dyDescent="0.25">
      <c r="A33" s="6">
        <v>32</v>
      </c>
      <c r="B33" s="7">
        <v>258.52454664246102</v>
      </c>
      <c r="C33" s="7">
        <v>257.41594874343701</v>
      </c>
      <c r="D33" s="7">
        <v>272.41241599076199</v>
      </c>
    </row>
    <row r="34" spans="1:4" x14ac:dyDescent="0.25">
      <c r="A34" s="6">
        <v>33</v>
      </c>
      <c r="B34" s="7">
        <v>273.58068658501003</v>
      </c>
      <c r="C34" s="7">
        <v>257.11840553637097</v>
      </c>
      <c r="D34" s="7">
        <v>266.01428234017601</v>
      </c>
    </row>
    <row r="35" spans="1:4" x14ac:dyDescent="0.25">
      <c r="A35" s="6">
        <v>34</v>
      </c>
      <c r="B35" s="7">
        <v>268.10405245991399</v>
      </c>
      <c r="C35" s="7">
        <v>256.47762338699198</v>
      </c>
      <c r="D35" s="7">
        <v>263.32189353188397</v>
      </c>
    </row>
    <row r="36" spans="1:4" x14ac:dyDescent="0.25">
      <c r="A36" s="6">
        <v>35</v>
      </c>
      <c r="B36" s="7">
        <v>277.41813179670498</v>
      </c>
      <c r="C36" s="7">
        <v>256.847690051683</v>
      </c>
      <c r="D36" s="7">
        <v>271.94585150822502</v>
      </c>
    </row>
    <row r="37" spans="1:4" x14ac:dyDescent="0.25">
      <c r="A37" s="6">
        <v>36</v>
      </c>
      <c r="B37" s="7">
        <v>270.569872885748</v>
      </c>
      <c r="C37" s="7">
        <v>261.13120316268902</v>
      </c>
      <c r="D37" s="7">
        <v>273.02122518168102</v>
      </c>
    </row>
    <row r="38" spans="1:4" x14ac:dyDescent="0.25">
      <c r="A38" s="6">
        <v>37</v>
      </c>
      <c r="B38" s="7">
        <v>276.61328577794097</v>
      </c>
      <c r="C38" s="7">
        <v>259.428711838825</v>
      </c>
      <c r="D38" s="7">
        <v>269.47104924628002</v>
      </c>
    </row>
    <row r="39" spans="1:4" x14ac:dyDescent="0.25">
      <c r="A39" s="6">
        <v>38</v>
      </c>
      <c r="B39" s="7">
        <v>279.044141464213</v>
      </c>
      <c r="C39" s="7">
        <v>253.7203811727</v>
      </c>
      <c r="D39" s="7">
        <v>262.258451974678</v>
      </c>
    </row>
    <row r="40" spans="1:4" x14ac:dyDescent="0.25">
      <c r="A40" s="6">
        <v>39</v>
      </c>
      <c r="B40" s="7">
        <v>275.747761758492</v>
      </c>
      <c r="C40" s="7">
        <v>246.98320272039601</v>
      </c>
      <c r="D40" s="7">
        <v>263.66192547533001</v>
      </c>
    </row>
    <row r="41" spans="1:4" x14ac:dyDescent="0.25">
      <c r="A41" s="6">
        <v>40</v>
      </c>
      <c r="B41" s="7">
        <v>268.443734865637</v>
      </c>
      <c r="C41" s="7">
        <v>247.50448290601599</v>
      </c>
      <c r="D41" s="7">
        <v>272.300664595824</v>
      </c>
    </row>
    <row r="42" spans="1:4" x14ac:dyDescent="0.25">
      <c r="A42" s="6">
        <v>41</v>
      </c>
      <c r="B42" s="7">
        <v>248.29661700254701</v>
      </c>
      <c r="C42" s="7">
        <v>249.25887067918899</v>
      </c>
      <c r="D42" s="7">
        <v>273.47471975320201</v>
      </c>
    </row>
    <row r="43" spans="1:4" x14ac:dyDescent="0.25">
      <c r="A43" s="6">
        <v>42</v>
      </c>
      <c r="B43" s="7">
        <v>254.19155540103901</v>
      </c>
      <c r="C43" s="7">
        <v>258.37062911814502</v>
      </c>
      <c r="D43" s="7">
        <v>269.518065327979</v>
      </c>
    </row>
    <row r="44" spans="1:4" x14ac:dyDescent="0.25">
      <c r="A44" s="6">
        <v>43</v>
      </c>
      <c r="B44" s="7">
        <v>271.07494826924801</v>
      </c>
      <c r="C44" s="7">
        <v>268.46016387784402</v>
      </c>
      <c r="D44" s="7">
        <v>270.65489193635699</v>
      </c>
    </row>
    <row r="45" spans="1:4" x14ac:dyDescent="0.25">
      <c r="A45" s="6">
        <v>44</v>
      </c>
      <c r="B45" s="7">
        <v>270.05123555820001</v>
      </c>
      <c r="C45" s="7">
        <v>263.466174083797</v>
      </c>
      <c r="D45" s="7">
        <v>274.04750208691598</v>
      </c>
    </row>
    <row r="46" spans="1:4" x14ac:dyDescent="0.25">
      <c r="A46" s="6">
        <v>45</v>
      </c>
      <c r="B46" s="7">
        <v>269.223322263988</v>
      </c>
      <c r="C46" s="7">
        <v>253.52443529477799</v>
      </c>
      <c r="D46" s="7">
        <v>277.534007278437</v>
      </c>
    </row>
    <row r="47" spans="1:4" x14ac:dyDescent="0.25">
      <c r="A47" s="6">
        <v>46</v>
      </c>
      <c r="B47" s="7">
        <v>272.57629235773601</v>
      </c>
      <c r="C47" s="7">
        <v>254.07373597902199</v>
      </c>
      <c r="D47" s="7">
        <v>276.15163098991798</v>
      </c>
    </row>
    <row r="48" spans="1:4" x14ac:dyDescent="0.25">
      <c r="A48" s="6">
        <v>47</v>
      </c>
      <c r="B48" s="7">
        <v>260.42518406295397</v>
      </c>
      <c r="C48" s="7">
        <v>255.12484434228</v>
      </c>
      <c r="D48" s="7">
        <v>266.26495123143002</v>
      </c>
    </row>
    <row r="49" spans="1:4" x14ac:dyDescent="0.25">
      <c r="A49" s="6">
        <v>48</v>
      </c>
      <c r="B49" s="7">
        <v>269.07165414286698</v>
      </c>
      <c r="C49" s="7">
        <v>256.46865363012603</v>
      </c>
      <c r="D49" s="7">
        <v>262.36073655536802</v>
      </c>
    </row>
    <row r="50" spans="1:4" x14ac:dyDescent="0.25">
      <c r="A50" s="6">
        <v>49</v>
      </c>
      <c r="B50" s="7">
        <v>281.08853259853299</v>
      </c>
      <c r="C50" s="7">
        <v>259.02452103150301</v>
      </c>
      <c r="D50" s="7">
        <v>267.25935511771002</v>
      </c>
    </row>
    <row r="51" spans="1:4" x14ac:dyDescent="0.25">
      <c r="A51" s="6">
        <v>50</v>
      </c>
      <c r="B51" s="7">
        <v>268.10746263635298</v>
      </c>
      <c r="C51" s="7">
        <v>259.87501501972298</v>
      </c>
      <c r="D51" s="7">
        <v>275.23504549674402</v>
      </c>
    </row>
    <row r="52" spans="1:4" x14ac:dyDescent="0.25">
      <c r="A52" s="6">
        <v>51</v>
      </c>
      <c r="B52" s="7">
        <v>274.46736778239102</v>
      </c>
      <c r="C52" s="7">
        <v>261.225428750699</v>
      </c>
      <c r="D52" s="7">
        <v>276.98362018748401</v>
      </c>
    </row>
    <row r="53" spans="1:4" x14ac:dyDescent="0.25">
      <c r="A53" s="6">
        <v>52</v>
      </c>
      <c r="B53" s="7">
        <v>274.983414823386</v>
      </c>
      <c r="C53" s="7">
        <v>252.111574823886</v>
      </c>
      <c r="D53" s="7">
        <v>259.58295219480601</v>
      </c>
    </row>
    <row r="54" spans="1:4" x14ac:dyDescent="0.25">
      <c r="A54" s="6">
        <v>53</v>
      </c>
      <c r="B54" s="7">
        <v>270.746599339103</v>
      </c>
      <c r="C54" s="7">
        <v>280.72764300632201</v>
      </c>
      <c r="D54" s="7">
        <v>260.89751108112802</v>
      </c>
    </row>
    <row r="55" spans="1:4" x14ac:dyDescent="0.25">
      <c r="A55" s="6">
        <v>54</v>
      </c>
      <c r="B55" s="7">
        <v>263.480139261376</v>
      </c>
      <c r="C55" s="7">
        <v>260.89939488610901</v>
      </c>
      <c r="D55" s="7">
        <v>275.26842192463198</v>
      </c>
    </row>
    <row r="56" spans="1:4" x14ac:dyDescent="0.25">
      <c r="A56" s="6">
        <v>55</v>
      </c>
      <c r="B56" s="7">
        <v>268.41815780280001</v>
      </c>
      <c r="C56" s="7">
        <v>247.825144705593</v>
      </c>
      <c r="D56" s="7">
        <v>271.905141529687</v>
      </c>
    </row>
    <row r="57" spans="1:4" x14ac:dyDescent="0.25">
      <c r="A57" s="6">
        <v>56</v>
      </c>
      <c r="B57" s="7">
        <v>265.09234212994301</v>
      </c>
      <c r="C57" s="7">
        <v>258.78068231472201</v>
      </c>
      <c r="D57" s="7">
        <v>264.07902828955599</v>
      </c>
    </row>
    <row r="58" spans="1:4" x14ac:dyDescent="0.25">
      <c r="A58" s="6">
        <v>57</v>
      </c>
      <c r="B58" s="7">
        <v>264.92998384927603</v>
      </c>
      <c r="C58" s="7">
        <v>248.74818978273399</v>
      </c>
      <c r="D58" s="7">
        <v>259.14231865175702</v>
      </c>
    </row>
    <row r="59" spans="1:4" x14ac:dyDescent="0.25">
      <c r="A59" s="6">
        <v>58</v>
      </c>
      <c r="B59" s="7">
        <v>259.49690812060999</v>
      </c>
      <c r="C59" s="7">
        <v>247.21179367058599</v>
      </c>
      <c r="D59" s="7">
        <v>254.170852776483</v>
      </c>
    </row>
    <row r="60" spans="1:4" x14ac:dyDescent="0.25">
      <c r="A60" s="6">
        <v>59</v>
      </c>
      <c r="B60" s="7">
        <v>244.98611838484999</v>
      </c>
      <c r="C60" s="7">
        <v>254.529203032439</v>
      </c>
      <c r="D60" s="7">
        <v>262.17695413831802</v>
      </c>
    </row>
    <row r="61" spans="1:4" x14ac:dyDescent="0.25">
      <c r="A61" s="6">
        <v>60</v>
      </c>
      <c r="B61" s="7">
        <v>243.536659922806</v>
      </c>
      <c r="C61" s="7">
        <v>260.34627310321201</v>
      </c>
      <c r="D61" s="7">
        <v>272.05235577882797</v>
      </c>
    </row>
    <row r="62" spans="1:4" x14ac:dyDescent="0.25">
      <c r="A62" s="6">
        <v>61</v>
      </c>
      <c r="B62" s="7">
        <v>245.76082321323099</v>
      </c>
      <c r="C62" s="7">
        <v>254.28404030648099</v>
      </c>
      <c r="D62" s="7">
        <v>256.98657996988402</v>
      </c>
    </row>
    <row r="63" spans="1:4" x14ac:dyDescent="0.25">
      <c r="A63" s="6">
        <v>62</v>
      </c>
      <c r="B63" s="7">
        <v>241.27869557653301</v>
      </c>
      <c r="C63" s="7">
        <v>263.28911968097702</v>
      </c>
      <c r="D63" s="7">
        <v>259.10854774264402</v>
      </c>
    </row>
    <row r="64" spans="1:4" x14ac:dyDescent="0.25">
      <c r="A64" s="6">
        <v>63</v>
      </c>
      <c r="B64" s="7">
        <v>233.97112932112199</v>
      </c>
      <c r="C64" s="7">
        <v>272.39670949245999</v>
      </c>
      <c r="D64" s="7">
        <v>263.43107300770902</v>
      </c>
    </row>
    <row r="65" spans="1:4" x14ac:dyDescent="0.25">
      <c r="A65" s="6">
        <v>64</v>
      </c>
      <c r="B65" s="7">
        <v>241.61152900889201</v>
      </c>
      <c r="C65" s="7">
        <v>252.73219654018899</v>
      </c>
      <c r="D65" s="7">
        <v>261.200847731431</v>
      </c>
    </row>
    <row r="66" spans="1:4" x14ac:dyDescent="0.25">
      <c r="A66" s="6">
        <v>65</v>
      </c>
      <c r="B66" s="7">
        <v>246.70810904063501</v>
      </c>
      <c r="C66" s="7">
        <v>255.38278777800701</v>
      </c>
      <c r="D66" s="7">
        <v>276.27957131476899</v>
      </c>
    </row>
    <row r="67" spans="1:4" x14ac:dyDescent="0.25">
      <c r="A67" s="6">
        <v>66</v>
      </c>
      <c r="B67" s="7">
        <v>243.925181941624</v>
      </c>
      <c r="C67" s="7">
        <v>266.825531928945</v>
      </c>
      <c r="D67" s="7">
        <v>287.38813452242999</v>
      </c>
    </row>
    <row r="68" spans="1:4" x14ac:dyDescent="0.25">
      <c r="A68" s="6">
        <v>67</v>
      </c>
      <c r="B68" s="7">
        <v>251.07893607835101</v>
      </c>
      <c r="C68" s="7">
        <v>264.68920006198601</v>
      </c>
      <c r="D68" s="7">
        <v>271.44238529975303</v>
      </c>
    </row>
    <row r="69" spans="1:4" x14ac:dyDescent="0.25">
      <c r="A69" s="6">
        <v>68</v>
      </c>
      <c r="B69" s="7">
        <v>245.775573170168</v>
      </c>
      <c r="C69" s="7">
        <v>262.2416363987</v>
      </c>
      <c r="D69" s="7">
        <v>265.470577835158</v>
      </c>
    </row>
    <row r="70" spans="1:4" x14ac:dyDescent="0.25">
      <c r="A70" s="6">
        <v>69</v>
      </c>
      <c r="B70" s="7">
        <v>245.07311125267299</v>
      </c>
      <c r="C70" s="7">
        <v>258.11311081951197</v>
      </c>
      <c r="D70" s="7">
        <v>267.30195361444203</v>
      </c>
    </row>
    <row r="71" spans="1:4" x14ac:dyDescent="0.25">
      <c r="A71" s="6">
        <v>70</v>
      </c>
      <c r="B71" s="7">
        <v>241.10949532716501</v>
      </c>
      <c r="C71" s="7">
        <v>258.06663547378599</v>
      </c>
      <c r="D71" s="7">
        <v>279.71942323521802</v>
      </c>
    </row>
    <row r="72" spans="1:4" x14ac:dyDescent="0.25">
      <c r="A72" s="6">
        <v>71</v>
      </c>
      <c r="B72" s="7">
        <v>253.80145455659701</v>
      </c>
      <c r="C72" s="7">
        <v>267.01391680440798</v>
      </c>
      <c r="D72" s="7">
        <v>276.218297571508</v>
      </c>
    </row>
    <row r="73" spans="1:4" x14ac:dyDescent="0.25">
      <c r="A73" s="6">
        <v>72</v>
      </c>
      <c r="B73" s="7">
        <v>268.564705176747</v>
      </c>
      <c r="C73" s="7">
        <v>265.40575635983799</v>
      </c>
      <c r="D73" s="7">
        <v>267.46092212231002</v>
      </c>
    </row>
    <row r="74" spans="1:4" x14ac:dyDescent="0.25">
      <c r="A74" s="6">
        <v>73</v>
      </c>
      <c r="B74" s="7">
        <v>245.74832885711101</v>
      </c>
      <c r="C74" s="7">
        <v>258.932555080474</v>
      </c>
      <c r="D74" s="7">
        <v>268.14361908278102</v>
      </c>
    </row>
    <row r="75" spans="1:4" x14ac:dyDescent="0.25">
      <c r="A75" s="6">
        <v>74</v>
      </c>
      <c r="B75" s="7">
        <v>235.98531695465201</v>
      </c>
      <c r="C75" s="7">
        <v>262.68761274500702</v>
      </c>
      <c r="D75" s="7">
        <v>267.49127516258102</v>
      </c>
    </row>
    <row r="76" spans="1:4" x14ac:dyDescent="0.25">
      <c r="A76" s="6">
        <v>75</v>
      </c>
      <c r="B76" s="7">
        <v>249.284834560305</v>
      </c>
      <c r="C76" s="7">
        <v>254.912038215639</v>
      </c>
      <c r="D76" s="7">
        <v>269.20549548760999</v>
      </c>
    </row>
    <row r="77" spans="1:4" x14ac:dyDescent="0.25">
      <c r="A77" s="6">
        <v>76</v>
      </c>
      <c r="B77" s="7">
        <v>241.30469639680101</v>
      </c>
      <c r="C77" s="7">
        <v>254.95216899478001</v>
      </c>
      <c r="D77" s="7">
        <v>281.21302319587397</v>
      </c>
    </row>
    <row r="78" spans="1:4" x14ac:dyDescent="0.25">
      <c r="A78" s="6">
        <v>77</v>
      </c>
      <c r="B78" s="7">
        <v>238.12973764677099</v>
      </c>
      <c r="C78" s="7">
        <v>287.88960673674501</v>
      </c>
      <c r="D78" s="7">
        <v>277.57584904006001</v>
      </c>
    </row>
    <row r="79" spans="1:4" x14ac:dyDescent="0.25">
      <c r="A79" s="6">
        <v>78</v>
      </c>
      <c r="B79" s="7">
        <v>254.41368821021101</v>
      </c>
      <c r="C79" s="7">
        <v>248.41377130391999</v>
      </c>
      <c r="D79" s="7">
        <v>262.49890291738399</v>
      </c>
    </row>
    <row r="80" spans="1:4" x14ac:dyDescent="0.25">
      <c r="A80" s="6">
        <v>79</v>
      </c>
      <c r="B80" s="7">
        <v>252.29563779945099</v>
      </c>
      <c r="C80" s="7">
        <v>257.59468434981198</v>
      </c>
      <c r="D80" s="7">
        <v>251.320481366704</v>
      </c>
    </row>
    <row r="81" spans="1:4" x14ac:dyDescent="0.25">
      <c r="A81" s="6">
        <v>80</v>
      </c>
      <c r="B81" s="7">
        <v>272.221014260674</v>
      </c>
      <c r="C81" s="7">
        <v>276.36012294830601</v>
      </c>
      <c r="D81" s="7">
        <v>263.47442726882201</v>
      </c>
    </row>
    <row r="82" spans="1:4" x14ac:dyDescent="0.25">
      <c r="A82" s="6">
        <v>81</v>
      </c>
      <c r="B82" s="7">
        <v>267.40442710057101</v>
      </c>
      <c r="C82" s="7">
        <v>258.00557362791102</v>
      </c>
      <c r="D82" s="7">
        <v>268.470363354477</v>
      </c>
    </row>
    <row r="83" spans="1:4" x14ac:dyDescent="0.25">
      <c r="A83" s="6">
        <v>82</v>
      </c>
      <c r="B83" s="7">
        <v>229.557001497329</v>
      </c>
      <c r="C83" s="7">
        <v>259.64272850936402</v>
      </c>
      <c r="D83" s="7">
        <v>260.98303805042701</v>
      </c>
    </row>
    <row r="84" spans="1:4" x14ac:dyDescent="0.25">
      <c r="A84" s="6">
        <v>83</v>
      </c>
      <c r="B84" s="7">
        <v>240.65243179312199</v>
      </c>
      <c r="C84" s="7">
        <v>255.95516697056999</v>
      </c>
      <c r="D84" s="7">
        <v>254.47014682871</v>
      </c>
    </row>
    <row r="85" spans="1:4" x14ac:dyDescent="0.25">
      <c r="A85" s="6">
        <v>84</v>
      </c>
      <c r="B85" s="7">
        <v>257.20117456333003</v>
      </c>
      <c r="C85" s="7">
        <v>247.31053988267399</v>
      </c>
      <c r="D85" s="7">
        <v>252.04097071123999</v>
      </c>
    </row>
    <row r="86" spans="1:4" x14ac:dyDescent="0.25">
      <c r="A86" s="6">
        <v>85</v>
      </c>
      <c r="B86" s="7">
        <v>259.28043686252801</v>
      </c>
      <c r="C86" s="7">
        <v>252.557053073237</v>
      </c>
      <c r="D86" s="7">
        <v>267.97443735209902</v>
      </c>
    </row>
    <row r="87" spans="1:4" x14ac:dyDescent="0.25">
      <c r="A87" s="6">
        <v>86</v>
      </c>
      <c r="B87" s="7">
        <v>245.41186326640999</v>
      </c>
      <c r="C87" s="7">
        <v>280.74027270501301</v>
      </c>
      <c r="D87" s="7">
        <v>274.46018532696098</v>
      </c>
    </row>
    <row r="88" spans="1:4" x14ac:dyDescent="0.25">
      <c r="A88" s="6">
        <v>87</v>
      </c>
      <c r="B88" s="7">
        <v>254.211492155792</v>
      </c>
      <c r="C88" s="7">
        <v>284.22807638751198</v>
      </c>
      <c r="D88" s="7">
        <v>274.44791243083898</v>
      </c>
    </row>
    <row r="89" spans="1:4" x14ac:dyDescent="0.25">
      <c r="A89" s="6">
        <v>88</v>
      </c>
      <c r="B89" s="7">
        <v>251.391063340166</v>
      </c>
      <c r="C89" s="7">
        <v>275.247926995059</v>
      </c>
      <c r="D89" s="7">
        <v>265.21908945236498</v>
      </c>
    </row>
    <row r="90" spans="1:4" x14ac:dyDescent="0.25">
      <c r="A90" s="6">
        <v>89</v>
      </c>
      <c r="B90" s="7">
        <v>253.02482016651999</v>
      </c>
      <c r="C90" s="7">
        <v>260.74084298864199</v>
      </c>
      <c r="D90" s="7">
        <v>261.91822150880802</v>
      </c>
    </row>
    <row r="91" spans="1:4" x14ac:dyDescent="0.25">
      <c r="A91" s="6">
        <v>90</v>
      </c>
      <c r="B91" s="7">
        <v>265.23910416998501</v>
      </c>
      <c r="C91" s="7">
        <v>247.82044549921801</v>
      </c>
      <c r="D91" s="7">
        <v>266.241706098934</v>
      </c>
    </row>
    <row r="92" spans="1:4" x14ac:dyDescent="0.25">
      <c r="A92" s="6">
        <v>91</v>
      </c>
      <c r="B92" s="7">
        <v>262.652219586569</v>
      </c>
      <c r="C92" s="7">
        <v>253.84541967114899</v>
      </c>
      <c r="D92" s="7">
        <v>271.26756197274602</v>
      </c>
    </row>
    <row r="93" spans="1:4" x14ac:dyDescent="0.25">
      <c r="A93" s="6">
        <v>92</v>
      </c>
      <c r="B93" s="7">
        <v>259.621831853076</v>
      </c>
      <c r="C93" s="7">
        <v>258.41904310724698</v>
      </c>
      <c r="D93" s="7">
        <v>280.97996800039402</v>
      </c>
    </row>
    <row r="94" spans="1:4" x14ac:dyDescent="0.25">
      <c r="A94" s="6">
        <v>93</v>
      </c>
      <c r="B94" s="7">
        <v>249.336962450187</v>
      </c>
      <c r="C94" s="7">
        <v>261.07333542678202</v>
      </c>
      <c r="D94" s="7">
        <v>278.11171161878502</v>
      </c>
    </row>
    <row r="95" spans="1:4" x14ac:dyDescent="0.25">
      <c r="A95" s="6">
        <v>94</v>
      </c>
      <c r="B95" s="7">
        <v>263.51905099467001</v>
      </c>
      <c r="C95" s="7">
        <v>256.461735140391</v>
      </c>
      <c r="D95" s="7">
        <v>272.18669626199801</v>
      </c>
    </row>
    <row r="96" spans="1:4" x14ac:dyDescent="0.25">
      <c r="A96" s="6">
        <v>95</v>
      </c>
      <c r="B96" s="7">
        <v>255.70923189383001</v>
      </c>
      <c r="C96" s="7">
        <v>252.75284333342</v>
      </c>
      <c r="D96" s="7">
        <v>271.52346883589098</v>
      </c>
    </row>
    <row r="97" spans="1:4" x14ac:dyDescent="0.25">
      <c r="A97" s="6">
        <v>96</v>
      </c>
      <c r="B97" s="7">
        <v>259.56382260761598</v>
      </c>
      <c r="C97" s="7">
        <v>245.41739707850701</v>
      </c>
      <c r="D97" s="7">
        <v>274.45535393867698</v>
      </c>
    </row>
    <row r="98" spans="1:4" x14ac:dyDescent="0.25">
      <c r="A98" s="6">
        <v>97</v>
      </c>
      <c r="B98" s="7">
        <v>275.33181937977298</v>
      </c>
      <c r="C98" s="7">
        <v>250.659980150591</v>
      </c>
      <c r="D98" s="7">
        <v>274.69327575029502</v>
      </c>
    </row>
    <row r="99" spans="1:4" x14ac:dyDescent="0.25">
      <c r="A99" s="6">
        <v>98</v>
      </c>
      <c r="B99" s="7">
        <v>255.54429503090799</v>
      </c>
      <c r="C99" s="7">
        <v>273.51067217230798</v>
      </c>
      <c r="D99" s="7">
        <v>273.63954200634998</v>
      </c>
    </row>
    <row r="100" spans="1:4" x14ac:dyDescent="0.25">
      <c r="A100" s="6">
        <v>99</v>
      </c>
      <c r="B100" s="7">
        <v>249.84225587038699</v>
      </c>
      <c r="C100" s="7">
        <v>274.78474020969099</v>
      </c>
      <c r="D100" s="7">
        <v>271.29009500676699</v>
      </c>
    </row>
    <row r="101" spans="1:4" x14ac:dyDescent="0.25">
      <c r="A101" s="6">
        <v>100</v>
      </c>
      <c r="B101" s="7">
        <v>261.190272822324</v>
      </c>
      <c r="C101" s="7">
        <v>248.823095526912</v>
      </c>
      <c r="D101" s="7">
        <v>279.32373791604402</v>
      </c>
    </row>
    <row r="102" spans="1:4" x14ac:dyDescent="0.25">
      <c r="A102" s="6">
        <v>101</v>
      </c>
      <c r="B102" s="7">
        <v>263.82760124877399</v>
      </c>
      <c r="C102" s="7">
        <v>235.69360889760199</v>
      </c>
      <c r="D102" s="7">
        <v>271.28518486844803</v>
      </c>
    </row>
    <row r="103" spans="1:4" x14ac:dyDescent="0.25">
      <c r="A103" s="6">
        <v>102</v>
      </c>
      <c r="B103" s="7">
        <v>256.75369379200799</v>
      </c>
      <c r="C103" s="7">
        <v>268.60769030353202</v>
      </c>
      <c r="D103" s="7">
        <v>257.47986378159197</v>
      </c>
    </row>
    <row r="104" spans="1:4" x14ac:dyDescent="0.25">
      <c r="A104" s="6">
        <v>103</v>
      </c>
      <c r="B104" s="7">
        <v>256.04840375647802</v>
      </c>
      <c r="C104" s="7">
        <v>274.78966368791299</v>
      </c>
      <c r="D104" s="7">
        <v>261.63355379237902</v>
      </c>
    </row>
    <row r="105" spans="1:4" x14ac:dyDescent="0.25">
      <c r="A105" s="6">
        <v>104</v>
      </c>
      <c r="B105" s="7">
        <v>232.89592574625999</v>
      </c>
      <c r="C105" s="7">
        <v>260.10504406021403</v>
      </c>
      <c r="D105" s="7">
        <v>283.00089537010899</v>
      </c>
    </row>
    <row r="106" spans="1:4" x14ac:dyDescent="0.25">
      <c r="A106" s="6">
        <v>105</v>
      </c>
      <c r="B106" s="7">
        <v>231.76799594322699</v>
      </c>
      <c r="C106" s="7">
        <v>259.64198953484299</v>
      </c>
      <c r="D106" s="7">
        <v>282.636883718977</v>
      </c>
    </row>
    <row r="107" spans="1:4" x14ac:dyDescent="0.25">
      <c r="A107" s="6">
        <v>106</v>
      </c>
      <c r="B107" s="7">
        <v>258.05827714003198</v>
      </c>
      <c r="C107" s="7">
        <v>280.70392674732398</v>
      </c>
      <c r="D107" s="7">
        <v>256.66940120349699</v>
      </c>
    </row>
    <row r="108" spans="1:4" x14ac:dyDescent="0.25">
      <c r="A108" s="6">
        <v>107</v>
      </c>
      <c r="B108" s="7">
        <v>258.12471296852101</v>
      </c>
      <c r="C108" s="7">
        <v>272.51724384020901</v>
      </c>
      <c r="D108" s="7">
        <v>276.55399573174498</v>
      </c>
    </row>
    <row r="109" spans="1:4" x14ac:dyDescent="0.25">
      <c r="A109" s="6">
        <v>108</v>
      </c>
      <c r="B109" s="7">
        <v>264.87934966591598</v>
      </c>
      <c r="C109" s="7">
        <v>240.554217673773</v>
      </c>
      <c r="D109" s="7">
        <v>268.91036555346699</v>
      </c>
    </row>
    <row r="110" spans="1:4" x14ac:dyDescent="0.25">
      <c r="A110" s="6">
        <v>109</v>
      </c>
      <c r="B110" s="7">
        <v>234.01226779599901</v>
      </c>
      <c r="C110" s="7">
        <v>237.50430184523401</v>
      </c>
      <c r="D110" s="7">
        <v>258.14481231436997</v>
      </c>
    </row>
    <row r="111" spans="1:4" x14ac:dyDescent="0.25">
      <c r="A111" s="6">
        <v>110</v>
      </c>
      <c r="B111" s="7">
        <v>235.27790392982101</v>
      </c>
      <c r="C111" s="7">
        <v>252.62365034163699</v>
      </c>
      <c r="D111" s="7">
        <v>267.15307294879898</v>
      </c>
    </row>
    <row r="112" spans="1:4" x14ac:dyDescent="0.25">
      <c r="A112" s="6">
        <v>111</v>
      </c>
      <c r="B112" s="7">
        <v>264.65788641826902</v>
      </c>
      <c r="C112" s="7">
        <v>261.439279108883</v>
      </c>
      <c r="D112" s="7">
        <v>278.72987838371699</v>
      </c>
    </row>
    <row r="113" spans="1:4" x14ac:dyDescent="0.25">
      <c r="A113" s="6">
        <v>112</v>
      </c>
      <c r="B113" s="7">
        <v>251.776476971357</v>
      </c>
      <c r="C113" s="7">
        <v>271.00474252151002</v>
      </c>
      <c r="D113" s="7">
        <v>269.86897600229702</v>
      </c>
    </row>
    <row r="114" spans="1:4" x14ac:dyDescent="0.25">
      <c r="A114" s="6">
        <v>113</v>
      </c>
      <c r="B114" s="7">
        <v>261.51858931661098</v>
      </c>
      <c r="C114" s="7">
        <v>264.70676300033603</v>
      </c>
      <c r="D114" s="7">
        <v>273.12491009391402</v>
      </c>
    </row>
    <row r="115" spans="1:4" x14ac:dyDescent="0.25">
      <c r="A115" s="6">
        <v>114</v>
      </c>
      <c r="B115" s="7">
        <v>263.76539922905602</v>
      </c>
      <c r="C115" s="7">
        <v>256.79892586482998</v>
      </c>
      <c r="D115" s="7">
        <v>270.42361746634998</v>
      </c>
    </row>
    <row r="116" spans="1:4" x14ac:dyDescent="0.25">
      <c r="A116" s="6">
        <v>115</v>
      </c>
      <c r="B116" s="7">
        <v>259.27555684759602</v>
      </c>
      <c r="C116" s="7">
        <v>260.98166411220399</v>
      </c>
      <c r="D116" s="7">
        <v>262.79798311143497</v>
      </c>
    </row>
    <row r="117" spans="1:4" x14ac:dyDescent="0.25">
      <c r="A117" s="6">
        <v>116</v>
      </c>
      <c r="B117" s="7">
        <v>260.40383315532898</v>
      </c>
      <c r="C117" s="7">
        <v>269.05065540829401</v>
      </c>
      <c r="D117" s="7">
        <v>268.75287733895402</v>
      </c>
    </row>
    <row r="118" spans="1:4" x14ac:dyDescent="0.25">
      <c r="A118" s="6">
        <v>117</v>
      </c>
      <c r="B118" s="7">
        <v>264.20623378756102</v>
      </c>
      <c r="C118" s="7">
        <v>272.77069113570798</v>
      </c>
      <c r="D118" s="7">
        <v>277.89125405310102</v>
      </c>
    </row>
    <row r="119" spans="1:4" x14ac:dyDescent="0.25">
      <c r="A119" s="6">
        <v>118</v>
      </c>
      <c r="B119" s="7">
        <v>265.01597642724403</v>
      </c>
      <c r="C119" s="7">
        <v>259.53953062658201</v>
      </c>
      <c r="D119" s="7">
        <v>277.31108245422803</v>
      </c>
    </row>
    <row r="120" spans="1:4" x14ac:dyDescent="0.25">
      <c r="A120" s="6">
        <v>119</v>
      </c>
      <c r="B120" s="7">
        <v>255.75019172955001</v>
      </c>
      <c r="C120" s="7">
        <v>273.79194443570901</v>
      </c>
      <c r="D120" s="7">
        <v>276.65073149114397</v>
      </c>
    </row>
    <row r="121" spans="1:4" x14ac:dyDescent="0.25">
      <c r="A121" s="6">
        <v>120</v>
      </c>
      <c r="B121" s="7">
        <v>253.414387284583</v>
      </c>
      <c r="C121" s="7">
        <v>269.35556319336803</v>
      </c>
      <c r="D121" s="7">
        <v>276.45179237848299</v>
      </c>
    </row>
    <row r="122" spans="1:4" x14ac:dyDescent="0.25">
      <c r="A122" s="6">
        <v>121</v>
      </c>
      <c r="B122" s="7">
        <v>258.932455460234</v>
      </c>
      <c r="C122" s="7">
        <v>244.24255655686201</v>
      </c>
      <c r="D122" s="7">
        <v>268.82147985696099</v>
      </c>
    </row>
    <row r="123" spans="1:4" x14ac:dyDescent="0.25">
      <c r="A123" s="6">
        <v>122</v>
      </c>
      <c r="B123" s="7">
        <v>259.25897383180398</v>
      </c>
      <c r="C123" s="7">
        <v>264.68777449619699</v>
      </c>
      <c r="D123" s="7">
        <v>270.45245288728103</v>
      </c>
    </row>
    <row r="124" spans="1:4" x14ac:dyDescent="0.25">
      <c r="A124" s="6">
        <v>123</v>
      </c>
      <c r="B124" s="7">
        <v>259.08579419944698</v>
      </c>
      <c r="C124" s="7">
        <v>287.160288934753</v>
      </c>
      <c r="D124" s="7">
        <v>268.71036755250498</v>
      </c>
    </row>
    <row r="125" spans="1:4" x14ac:dyDescent="0.25">
      <c r="A125" s="6">
        <v>124</v>
      </c>
      <c r="B125" s="7">
        <v>251.03902612378201</v>
      </c>
      <c r="C125" s="7">
        <v>278.44998745571502</v>
      </c>
      <c r="D125" s="7">
        <v>263.592052627454</v>
      </c>
    </row>
    <row r="126" spans="1:4" x14ac:dyDescent="0.25">
      <c r="A126" s="6">
        <v>125</v>
      </c>
      <c r="B126" s="7">
        <v>261.15994371222001</v>
      </c>
      <c r="C126" s="7">
        <v>276.07802311406198</v>
      </c>
      <c r="D126" s="7">
        <v>274.72546679743101</v>
      </c>
    </row>
    <row r="127" spans="1:4" x14ac:dyDescent="0.25">
      <c r="A127" s="6">
        <v>126</v>
      </c>
      <c r="B127" s="7">
        <v>276.89141675369802</v>
      </c>
      <c r="C127" s="7">
        <v>267.24601547492102</v>
      </c>
      <c r="D127" s="7">
        <v>272.538539891504</v>
      </c>
    </row>
    <row r="128" spans="1:4" x14ac:dyDescent="0.25">
      <c r="A128" s="6">
        <v>127</v>
      </c>
      <c r="B128" s="7">
        <v>265.656883652077</v>
      </c>
      <c r="C128" s="7">
        <v>264.19228092077799</v>
      </c>
      <c r="D128" s="7">
        <v>268.774555414573</v>
      </c>
    </row>
    <row r="129" spans="1:4" x14ac:dyDescent="0.25">
      <c r="A129" s="6">
        <v>128</v>
      </c>
      <c r="B129" s="7">
        <v>244.502060982611</v>
      </c>
      <c r="C129" s="7">
        <v>266.55596111928099</v>
      </c>
      <c r="D129" s="7">
        <v>268.70958467942</v>
      </c>
    </row>
    <row r="130" spans="1:4" x14ac:dyDescent="0.25">
      <c r="A130" s="6">
        <v>129</v>
      </c>
      <c r="B130" s="7">
        <v>254.82085810508801</v>
      </c>
      <c r="C130" s="7">
        <v>266.26030044967001</v>
      </c>
      <c r="D130" s="7">
        <v>267.10660592896397</v>
      </c>
    </row>
    <row r="131" spans="1:4" x14ac:dyDescent="0.25">
      <c r="A131" s="6">
        <v>130</v>
      </c>
      <c r="B131" s="7">
        <v>265.15161977064702</v>
      </c>
      <c r="C131" s="7">
        <v>271.36107848345398</v>
      </c>
      <c r="D131" s="7">
        <v>258.04152539302299</v>
      </c>
    </row>
    <row r="132" spans="1:4" x14ac:dyDescent="0.25">
      <c r="A132" s="6">
        <v>131</v>
      </c>
      <c r="B132" s="7">
        <v>259.17316332778398</v>
      </c>
      <c r="C132" s="7">
        <v>268.19510200846099</v>
      </c>
      <c r="D132" s="7">
        <v>261.040613832178</v>
      </c>
    </row>
    <row r="133" spans="1:4" x14ac:dyDescent="0.25">
      <c r="A133" s="6">
        <v>132</v>
      </c>
      <c r="B133" s="7">
        <v>254.221492635998</v>
      </c>
      <c r="C133" s="7">
        <v>264.681929695527</v>
      </c>
      <c r="D133" s="7">
        <v>257.97106854330002</v>
      </c>
    </row>
    <row r="134" spans="1:4" x14ac:dyDescent="0.25">
      <c r="A134" s="6">
        <v>133</v>
      </c>
      <c r="B134" s="7">
        <v>257.61208525560301</v>
      </c>
      <c r="C134" s="7">
        <v>277.68966492951802</v>
      </c>
      <c r="D134" s="7">
        <v>258.570682279896</v>
      </c>
    </row>
    <row r="135" spans="1:4" x14ac:dyDescent="0.25">
      <c r="A135" s="6">
        <v>134</v>
      </c>
      <c r="B135" s="7">
        <v>249.992754892481</v>
      </c>
      <c r="C135" s="7">
        <v>265.187005978027</v>
      </c>
      <c r="D135" s="7">
        <v>270.02709021891701</v>
      </c>
    </row>
    <row r="136" spans="1:4" x14ac:dyDescent="0.25">
      <c r="A136" s="6">
        <v>135</v>
      </c>
      <c r="B136" s="7">
        <v>250.306855494926</v>
      </c>
      <c r="C136" s="7">
        <v>240.065907646059</v>
      </c>
      <c r="D136" s="7">
        <v>284.18190182882603</v>
      </c>
    </row>
    <row r="137" spans="1:4" x14ac:dyDescent="0.25">
      <c r="A137" s="6">
        <v>136</v>
      </c>
      <c r="B137" s="7">
        <v>250.409281204834</v>
      </c>
      <c r="C137" s="7">
        <v>235.41762553575501</v>
      </c>
      <c r="D137" s="7">
        <v>266.765283161968</v>
      </c>
    </row>
    <row r="138" spans="1:4" x14ac:dyDescent="0.25">
      <c r="A138" s="6">
        <v>137</v>
      </c>
      <c r="B138" s="7">
        <v>260.54658290357702</v>
      </c>
      <c r="C138" s="7">
        <v>274.66558071939301</v>
      </c>
      <c r="D138" s="7">
        <v>268.79057881748298</v>
      </c>
    </row>
    <row r="139" spans="1:4" x14ac:dyDescent="0.25">
      <c r="A139" s="6">
        <v>138</v>
      </c>
      <c r="B139" s="7">
        <v>260.91807903946</v>
      </c>
      <c r="C139" s="7">
        <v>278.83995628148801</v>
      </c>
      <c r="D139" s="7">
        <v>268.023558796271</v>
      </c>
    </row>
    <row r="140" spans="1:4" x14ac:dyDescent="0.25">
      <c r="A140" s="6">
        <v>139</v>
      </c>
      <c r="B140" s="7">
        <v>260.90072586725103</v>
      </c>
      <c r="C140" s="7">
        <v>258.55153472237299</v>
      </c>
      <c r="D140" s="7">
        <v>268.58182442599502</v>
      </c>
    </row>
    <row r="141" spans="1:4" x14ac:dyDescent="0.25">
      <c r="A141" s="6">
        <v>140</v>
      </c>
      <c r="B141" s="7">
        <v>266.020421583531</v>
      </c>
      <c r="C141" s="7">
        <v>243.68978715374499</v>
      </c>
      <c r="D141" s="7">
        <v>270.65477076025502</v>
      </c>
    </row>
    <row r="142" spans="1:4" x14ac:dyDescent="0.25">
      <c r="A142" s="6">
        <v>141</v>
      </c>
      <c r="B142" s="7">
        <v>265.71725234821298</v>
      </c>
      <c r="C142" s="7">
        <v>253.52649173417601</v>
      </c>
      <c r="D142" s="7">
        <v>271.11179751140497</v>
      </c>
    </row>
    <row r="143" spans="1:4" x14ac:dyDescent="0.25">
      <c r="A143" s="6">
        <v>142</v>
      </c>
      <c r="B143" s="7">
        <v>267.04843398794901</v>
      </c>
      <c r="C143" s="7">
        <v>260.43623645545699</v>
      </c>
      <c r="D143" s="7">
        <v>267.29366365946697</v>
      </c>
    </row>
    <row r="144" spans="1:4" x14ac:dyDescent="0.25">
      <c r="A144" s="6">
        <v>143</v>
      </c>
      <c r="B144" s="7">
        <v>262.64780136550098</v>
      </c>
      <c r="C144" s="7">
        <v>253.20931432807399</v>
      </c>
      <c r="D144" s="7">
        <v>277.62681379463697</v>
      </c>
    </row>
    <row r="145" spans="1:4" x14ac:dyDescent="0.25">
      <c r="A145" s="6">
        <v>144</v>
      </c>
      <c r="B145" s="7">
        <v>261.63458848496998</v>
      </c>
      <c r="C145" s="7">
        <v>262.15181103266701</v>
      </c>
      <c r="D145" s="7">
        <v>275.56905597364499</v>
      </c>
    </row>
    <row r="146" spans="1:4" x14ac:dyDescent="0.25">
      <c r="A146" s="6">
        <v>145</v>
      </c>
      <c r="B146" s="7">
        <v>259.224117313139</v>
      </c>
      <c r="C146" s="7">
        <v>282.26541038082399</v>
      </c>
      <c r="D146" s="7">
        <v>269.00422620292699</v>
      </c>
    </row>
    <row r="147" spans="1:4" x14ac:dyDescent="0.25">
      <c r="A147" s="6">
        <v>146</v>
      </c>
      <c r="B147" s="7">
        <v>252.259944648963</v>
      </c>
      <c r="C147" s="7">
        <v>265.85790767697603</v>
      </c>
      <c r="D147" s="7">
        <v>270.68481160548703</v>
      </c>
    </row>
    <row r="148" spans="1:4" x14ac:dyDescent="0.25">
      <c r="A148" s="6">
        <v>147</v>
      </c>
      <c r="B148" s="7">
        <v>250.41607352572399</v>
      </c>
      <c r="C148" s="7">
        <v>245.585832038083</v>
      </c>
      <c r="D148" s="7">
        <v>268.62305636632601</v>
      </c>
    </row>
    <row r="149" spans="1:4" x14ac:dyDescent="0.25">
      <c r="A149" s="6">
        <v>148</v>
      </c>
      <c r="B149" s="7">
        <v>249.655641961649</v>
      </c>
      <c r="C149" s="7">
        <v>247.26942807754401</v>
      </c>
      <c r="D149" s="7">
        <v>269.98373698205899</v>
      </c>
    </row>
    <row r="150" spans="1:4" x14ac:dyDescent="0.25">
      <c r="A150" s="6">
        <v>149</v>
      </c>
      <c r="B150" s="7">
        <v>270.82029999211602</v>
      </c>
      <c r="C150" s="7">
        <v>261.88048423592699</v>
      </c>
      <c r="D150" s="7">
        <v>267.84603616603999</v>
      </c>
    </row>
    <row r="151" spans="1:4" x14ac:dyDescent="0.25">
      <c r="A151" s="6">
        <v>150</v>
      </c>
      <c r="B151" s="7">
        <v>246.50034132640599</v>
      </c>
      <c r="C151" s="7">
        <v>270.80067599288901</v>
      </c>
      <c r="D151" s="7">
        <v>265.82734732001097</v>
      </c>
    </row>
    <row r="152" spans="1:4" x14ac:dyDescent="0.25">
      <c r="A152" s="6">
        <v>151</v>
      </c>
      <c r="B152" s="7">
        <v>246.920417783788</v>
      </c>
      <c r="C152" s="7">
        <v>271.87295460283701</v>
      </c>
      <c r="D152" s="7">
        <v>271.70230599907501</v>
      </c>
    </row>
    <row r="153" spans="1:4" x14ac:dyDescent="0.25">
      <c r="A153" s="6">
        <v>152</v>
      </c>
      <c r="B153" s="7">
        <v>236.852622845452</v>
      </c>
      <c r="C153" s="7">
        <v>266.56302565207102</v>
      </c>
      <c r="D153" s="7">
        <v>278.56035658672897</v>
      </c>
    </row>
    <row r="154" spans="1:4" x14ac:dyDescent="0.25">
      <c r="A154" s="6">
        <v>153</v>
      </c>
      <c r="B154" s="7">
        <v>237.868725147297</v>
      </c>
      <c r="C154" s="7">
        <v>261.92069478072602</v>
      </c>
      <c r="D154" s="7">
        <v>279.89088145559299</v>
      </c>
    </row>
    <row r="155" spans="1:4" x14ac:dyDescent="0.25">
      <c r="A155" s="6">
        <v>154</v>
      </c>
      <c r="B155" s="7">
        <v>256.89190364006203</v>
      </c>
      <c r="C155" s="7">
        <v>263.36373543137199</v>
      </c>
      <c r="D155" s="7">
        <v>274.21064367008501</v>
      </c>
    </row>
    <row r="156" spans="1:4" x14ac:dyDescent="0.25">
      <c r="A156" s="6">
        <v>155</v>
      </c>
      <c r="B156" s="7">
        <v>256.90062960406902</v>
      </c>
      <c r="C156" s="7">
        <v>260.49379812107901</v>
      </c>
      <c r="D156" s="7">
        <v>269.70649144938301</v>
      </c>
    </row>
    <row r="157" spans="1:4" x14ac:dyDescent="0.25">
      <c r="A157" s="6">
        <v>156</v>
      </c>
      <c r="B157" s="7">
        <v>267.84405580591601</v>
      </c>
      <c r="C157" s="7">
        <v>260.37837286210498</v>
      </c>
      <c r="D157" s="7">
        <v>264.33166282033801</v>
      </c>
    </row>
    <row r="158" spans="1:4" x14ac:dyDescent="0.25">
      <c r="A158" s="6">
        <v>157</v>
      </c>
      <c r="B158" s="7">
        <v>264.46846949525298</v>
      </c>
      <c r="C158" s="7">
        <v>267.544955269176</v>
      </c>
      <c r="D158" s="7">
        <v>278.72420516217801</v>
      </c>
    </row>
    <row r="159" spans="1:4" x14ac:dyDescent="0.25">
      <c r="A159" s="6">
        <v>158</v>
      </c>
      <c r="B159" s="7">
        <v>254.09515478456299</v>
      </c>
      <c r="C159" s="7">
        <v>278.613285532578</v>
      </c>
      <c r="D159" s="7">
        <v>267.04047661561401</v>
      </c>
    </row>
    <row r="160" spans="1:4" x14ac:dyDescent="0.25">
      <c r="A160" s="6">
        <v>159</v>
      </c>
      <c r="B160" s="7">
        <v>254.16132035204899</v>
      </c>
      <c r="C160" s="7">
        <v>267.99338493498101</v>
      </c>
      <c r="D160" s="7">
        <v>250.63371593889201</v>
      </c>
    </row>
    <row r="161" spans="1:4" x14ac:dyDescent="0.25">
      <c r="A161" s="6">
        <v>160</v>
      </c>
      <c r="B161" s="7">
        <v>266.86094111978099</v>
      </c>
      <c r="C161" s="7">
        <v>257.18455223471301</v>
      </c>
      <c r="D161" s="7">
        <v>251.35518407979399</v>
      </c>
    </row>
    <row r="162" spans="1:4" x14ac:dyDescent="0.25">
      <c r="A162" s="6">
        <v>161</v>
      </c>
      <c r="B162" s="7">
        <v>265.65831390794801</v>
      </c>
      <c r="C162" s="7">
        <v>263.68616254156399</v>
      </c>
      <c r="D162" s="7">
        <v>267.48024164179901</v>
      </c>
    </row>
    <row r="163" spans="1:4" x14ac:dyDescent="0.25">
      <c r="A163" s="6">
        <v>162</v>
      </c>
      <c r="B163" s="7">
        <v>276.84225949816403</v>
      </c>
      <c r="C163" s="7">
        <v>266.40102048698998</v>
      </c>
      <c r="D163" s="7">
        <v>269.45744339756698</v>
      </c>
    </row>
    <row r="164" spans="1:4" x14ac:dyDescent="0.25">
      <c r="A164" s="6">
        <v>163</v>
      </c>
      <c r="B164" s="7">
        <v>278.33208204226599</v>
      </c>
      <c r="C164" s="7">
        <v>242.49699595029699</v>
      </c>
      <c r="D164" s="7">
        <v>269.576012686963</v>
      </c>
    </row>
    <row r="165" spans="1:4" x14ac:dyDescent="0.25">
      <c r="A165" s="6">
        <v>164</v>
      </c>
      <c r="B165" s="7">
        <v>270.72174070429099</v>
      </c>
      <c r="C165" s="7">
        <v>231.37928086612899</v>
      </c>
      <c r="D165" s="7">
        <v>264.05074672339498</v>
      </c>
    </row>
    <row r="166" spans="1:4" x14ac:dyDescent="0.25">
      <c r="A166" s="6">
        <v>165</v>
      </c>
      <c r="B166" s="7">
        <v>263.01052413473002</v>
      </c>
      <c r="C166" s="7">
        <v>248.248066935759</v>
      </c>
      <c r="D166" s="7">
        <v>257.91180898416798</v>
      </c>
    </row>
    <row r="167" spans="1:4" x14ac:dyDescent="0.25">
      <c r="A167" s="6">
        <v>166</v>
      </c>
      <c r="B167" s="7">
        <v>251.191724133978</v>
      </c>
      <c r="C167" s="7">
        <v>261.30407688217701</v>
      </c>
      <c r="D167" s="7">
        <v>259.977804842154</v>
      </c>
    </row>
    <row r="168" spans="1:4" x14ac:dyDescent="0.25">
      <c r="A168" s="6">
        <v>167</v>
      </c>
      <c r="B168" s="7">
        <v>249.12581843349801</v>
      </c>
      <c r="C168" s="7">
        <v>265.95601236880998</v>
      </c>
      <c r="D168" s="7">
        <v>267.90207775334602</v>
      </c>
    </row>
    <row r="169" spans="1:4" x14ac:dyDescent="0.25">
      <c r="A169" s="6">
        <v>168</v>
      </c>
      <c r="B169" s="7">
        <v>259.56896618796998</v>
      </c>
      <c r="C169" s="7">
        <v>262.87633125695697</v>
      </c>
      <c r="D169" s="7">
        <v>276.34391444764498</v>
      </c>
    </row>
    <row r="170" spans="1:4" x14ac:dyDescent="0.25">
      <c r="A170" s="6">
        <v>169</v>
      </c>
      <c r="B170" s="7">
        <v>248.98897343293501</v>
      </c>
      <c r="C170" s="7">
        <v>258.07975366753499</v>
      </c>
      <c r="D170" s="7">
        <v>264.79114484925901</v>
      </c>
    </row>
    <row r="171" spans="1:4" x14ac:dyDescent="0.25">
      <c r="A171" s="6">
        <v>170</v>
      </c>
      <c r="B171" s="7">
        <v>253.35737223170099</v>
      </c>
      <c r="C171" s="7">
        <v>251.32178446989201</v>
      </c>
      <c r="D171" s="7">
        <v>262.70654602110102</v>
      </c>
    </row>
    <row r="172" spans="1:4" x14ac:dyDescent="0.25">
      <c r="A172" s="6">
        <v>171</v>
      </c>
      <c r="B172" s="7">
        <v>256.51657940961599</v>
      </c>
      <c r="C172" s="7">
        <v>249.00596672218501</v>
      </c>
      <c r="D172" s="7">
        <v>263.67628248029001</v>
      </c>
    </row>
    <row r="173" spans="1:4" x14ac:dyDescent="0.25">
      <c r="A173" s="6">
        <v>172</v>
      </c>
      <c r="B173" s="7">
        <v>243.383396610191</v>
      </c>
      <c r="C173" s="7">
        <v>264.80169463813098</v>
      </c>
      <c r="D173" s="7">
        <v>269.51047466569003</v>
      </c>
    </row>
    <row r="174" spans="1:4" x14ac:dyDescent="0.25">
      <c r="A174" s="6">
        <v>173</v>
      </c>
      <c r="B174" s="7">
        <v>248.34304928595</v>
      </c>
      <c r="C174" s="7">
        <v>272.11130695849602</v>
      </c>
      <c r="D174" s="7">
        <v>273.07560971929797</v>
      </c>
    </row>
    <row r="175" spans="1:4" x14ac:dyDescent="0.25">
      <c r="A175" s="6">
        <v>174</v>
      </c>
      <c r="B175" s="7">
        <v>252.69211996631699</v>
      </c>
      <c r="C175" s="7">
        <v>272.75961025423902</v>
      </c>
      <c r="D175" s="7">
        <v>268.12395869973102</v>
      </c>
    </row>
    <row r="176" spans="1:4" x14ac:dyDescent="0.25">
      <c r="A176" s="6">
        <v>175</v>
      </c>
      <c r="B176" s="7">
        <v>266.308484504185</v>
      </c>
      <c r="C176" s="7">
        <v>272.064397454529</v>
      </c>
      <c r="D176" s="7">
        <v>274.57172552313301</v>
      </c>
    </row>
    <row r="177" spans="1:4" x14ac:dyDescent="0.25">
      <c r="A177" s="6">
        <v>176</v>
      </c>
      <c r="B177" s="7">
        <v>275.687284666273</v>
      </c>
      <c r="C177" s="7">
        <v>275.28242578443002</v>
      </c>
      <c r="D177" s="7">
        <v>280.16732459722601</v>
      </c>
    </row>
    <row r="178" spans="1:4" x14ac:dyDescent="0.25">
      <c r="A178" s="6">
        <v>177</v>
      </c>
      <c r="B178" s="7">
        <v>252.24620493100801</v>
      </c>
      <c r="C178" s="7">
        <v>273.591342173925</v>
      </c>
      <c r="D178" s="7">
        <v>288.48240249413402</v>
      </c>
    </row>
    <row r="179" spans="1:4" x14ac:dyDescent="0.25">
      <c r="A179" s="6">
        <v>178</v>
      </c>
      <c r="B179" s="7">
        <v>253.72907227763099</v>
      </c>
      <c r="C179" s="7">
        <v>275.49482400583003</v>
      </c>
      <c r="D179" s="7">
        <v>284.59556498480799</v>
      </c>
    </row>
    <row r="180" spans="1:4" x14ac:dyDescent="0.25">
      <c r="A180" s="6">
        <v>179</v>
      </c>
      <c r="B180" s="7">
        <v>264.80801503419701</v>
      </c>
      <c r="C180" s="7">
        <v>279.14150575955301</v>
      </c>
      <c r="D180" s="7">
        <v>270.51309023568501</v>
      </c>
    </row>
    <row r="181" spans="1:4" x14ac:dyDescent="0.25">
      <c r="A181" s="6">
        <v>180</v>
      </c>
      <c r="B181" s="7">
        <v>265.72474146109698</v>
      </c>
      <c r="C181" s="7">
        <v>276.03653493014701</v>
      </c>
      <c r="D181" s="7">
        <v>264.09841775080298</v>
      </c>
    </row>
    <row r="182" spans="1:4" x14ac:dyDescent="0.25">
      <c r="A182" s="6">
        <v>181</v>
      </c>
      <c r="B182" s="7">
        <v>252.32902588986201</v>
      </c>
      <c r="C182" s="7">
        <v>261.89710665462098</v>
      </c>
      <c r="D182" s="7">
        <v>268.30425739304599</v>
      </c>
    </row>
    <row r="183" spans="1:4" x14ac:dyDescent="0.25">
      <c r="A183" s="6">
        <v>182</v>
      </c>
      <c r="B183" s="7">
        <v>271.60878817413197</v>
      </c>
      <c r="C183" s="7">
        <v>245.27705836257101</v>
      </c>
      <c r="D183" s="7">
        <v>265.56010489010703</v>
      </c>
    </row>
    <row r="184" spans="1:4" x14ac:dyDescent="0.25">
      <c r="A184" s="6">
        <v>183</v>
      </c>
      <c r="B184" s="7">
        <v>260.09103788287399</v>
      </c>
      <c r="C184" s="7">
        <v>248.76901102878901</v>
      </c>
      <c r="D184" s="7">
        <v>277.21542547530697</v>
      </c>
    </row>
    <row r="185" spans="1:4" x14ac:dyDescent="0.25">
      <c r="A185" s="6">
        <v>184</v>
      </c>
      <c r="B185" s="7">
        <v>278.81684131498702</v>
      </c>
      <c r="C185" s="7">
        <v>264.23748156689601</v>
      </c>
      <c r="D185" s="7">
        <v>267.22931762978197</v>
      </c>
    </row>
    <row r="186" spans="1:4" x14ac:dyDescent="0.25">
      <c r="A186" s="6">
        <v>185</v>
      </c>
      <c r="B186" s="7">
        <v>275.87051889971201</v>
      </c>
      <c r="C186" s="7">
        <v>270.541573092774</v>
      </c>
      <c r="D186" s="7">
        <v>260.90007461372602</v>
      </c>
    </row>
    <row r="187" spans="1:4" x14ac:dyDescent="0.25">
      <c r="A187" s="6">
        <v>186</v>
      </c>
      <c r="B187" s="7">
        <v>254.69627182741999</v>
      </c>
      <c r="C187" s="7">
        <v>247.913443784354</v>
      </c>
      <c r="D187" s="7">
        <v>263.37976346879299</v>
      </c>
    </row>
    <row r="188" spans="1:4" x14ac:dyDescent="0.25">
      <c r="A188" s="6">
        <v>187</v>
      </c>
      <c r="B188" s="7">
        <v>260.90140272008802</v>
      </c>
      <c r="C188" s="7">
        <v>233.93977691868901</v>
      </c>
      <c r="D188" s="7">
        <v>266.94845406667901</v>
      </c>
    </row>
    <row r="189" spans="1:4" x14ac:dyDescent="0.25">
      <c r="A189" s="6">
        <v>188</v>
      </c>
      <c r="B189" s="7">
        <v>264.72765116058901</v>
      </c>
      <c r="C189" s="7">
        <v>250.03099148075799</v>
      </c>
      <c r="D189" s="7">
        <v>267.12551701992999</v>
      </c>
    </row>
    <row r="190" spans="1:4" x14ac:dyDescent="0.25">
      <c r="A190" s="6">
        <v>189</v>
      </c>
      <c r="B190" s="7">
        <v>256.19283897211898</v>
      </c>
      <c r="C190" s="7">
        <v>263.88615313406001</v>
      </c>
      <c r="D190" s="7">
        <v>271.78717509014899</v>
      </c>
    </row>
    <row r="191" spans="1:4" x14ac:dyDescent="0.25">
      <c r="A191" s="6">
        <v>190</v>
      </c>
      <c r="B191" s="7">
        <v>257.70045544449999</v>
      </c>
      <c r="C191" s="7">
        <v>264.37314909454102</v>
      </c>
      <c r="D191" s="7">
        <v>268.77301310898702</v>
      </c>
    </row>
    <row r="192" spans="1:4" x14ac:dyDescent="0.25">
      <c r="A192" s="6">
        <v>191</v>
      </c>
      <c r="B192" s="7">
        <v>277.18062061777499</v>
      </c>
      <c r="C192" s="7">
        <v>266.422890748089</v>
      </c>
      <c r="D192" s="7">
        <v>263.18702011709303</v>
      </c>
    </row>
    <row r="193" spans="1:4" x14ac:dyDescent="0.25">
      <c r="A193" s="6">
        <v>192</v>
      </c>
      <c r="B193" s="7">
        <v>297.405872590191</v>
      </c>
      <c r="C193" s="7">
        <v>266.06183171308197</v>
      </c>
      <c r="D193" s="7">
        <v>265.41515643388402</v>
      </c>
    </row>
    <row r="194" spans="1:4" x14ac:dyDescent="0.25">
      <c r="A194" s="6">
        <v>193</v>
      </c>
      <c r="B194" s="7">
        <v>297.39577328537803</v>
      </c>
      <c r="C194" s="7">
        <v>263.75856192498497</v>
      </c>
      <c r="D194" s="7">
        <v>269.73741736300099</v>
      </c>
    </row>
    <row r="195" spans="1:4" x14ac:dyDescent="0.25">
      <c r="A195" s="6">
        <v>194</v>
      </c>
      <c r="B195" s="7">
        <v>241.99344148628899</v>
      </c>
      <c r="C195" s="7">
        <v>257.465188510193</v>
      </c>
      <c r="D195" s="7">
        <v>264.26636395039401</v>
      </c>
    </row>
    <row r="196" spans="1:4" x14ac:dyDescent="0.25">
      <c r="A196" s="6">
        <v>195</v>
      </c>
      <c r="B196" s="7">
        <v>234.589165343269</v>
      </c>
      <c r="C196" s="7">
        <v>250.64356029177699</v>
      </c>
      <c r="D196" s="7">
        <v>268.23380020240597</v>
      </c>
    </row>
    <row r="197" spans="1:4" x14ac:dyDescent="0.25">
      <c r="A197" s="6">
        <v>196</v>
      </c>
      <c r="B197" s="7">
        <v>259.42949216271597</v>
      </c>
      <c r="C197" s="7">
        <v>260.03441641993498</v>
      </c>
      <c r="D197" s="7">
        <v>272.70753800040899</v>
      </c>
    </row>
    <row r="198" spans="1:4" x14ac:dyDescent="0.25">
      <c r="A198" s="6">
        <v>197</v>
      </c>
      <c r="B198" s="7">
        <v>238.55039815646199</v>
      </c>
      <c r="C198" s="7">
        <v>272.40411942707999</v>
      </c>
      <c r="D198" s="7">
        <v>275.40217768936401</v>
      </c>
    </row>
    <row r="199" spans="1:4" x14ac:dyDescent="0.25">
      <c r="A199" s="6">
        <v>198</v>
      </c>
      <c r="B199" s="7">
        <v>234.69720483205899</v>
      </c>
      <c r="C199" s="7">
        <v>274.14820450962901</v>
      </c>
      <c r="D199" s="7">
        <v>272.10897543373898</v>
      </c>
    </row>
    <row r="200" spans="1:4" x14ac:dyDescent="0.25">
      <c r="A200" s="6">
        <v>199</v>
      </c>
      <c r="B200" s="7">
        <v>249.28088737228501</v>
      </c>
      <c r="C200" s="7">
        <v>258.83538262024302</v>
      </c>
      <c r="D200" s="7">
        <v>264.756786745336</v>
      </c>
    </row>
    <row r="201" spans="1:4" x14ac:dyDescent="0.25">
      <c r="A201" s="6">
        <v>200</v>
      </c>
      <c r="B201" s="7">
        <v>258.01366356622202</v>
      </c>
      <c r="C201" s="7">
        <v>246.357640778405</v>
      </c>
      <c r="D201" s="7">
        <v>268.47693249041799</v>
      </c>
    </row>
    <row r="202" spans="1:4" x14ac:dyDescent="0.25">
      <c r="A202" s="6">
        <v>201</v>
      </c>
      <c r="B202" s="7">
        <v>268.74073142064498</v>
      </c>
      <c r="C202" s="7">
        <v>245.21146645756201</v>
      </c>
      <c r="D202" s="7">
        <v>277.64701086607897</v>
      </c>
    </row>
    <row r="203" spans="1:4" x14ac:dyDescent="0.25">
      <c r="A203" s="6">
        <v>202</v>
      </c>
      <c r="B203" s="7">
        <v>264.13078904280002</v>
      </c>
      <c r="C203" s="7">
        <v>256.82182514438699</v>
      </c>
      <c r="D203" s="7">
        <v>263.72566862600303</v>
      </c>
    </row>
    <row r="204" spans="1:4" x14ac:dyDescent="0.25">
      <c r="A204" s="6">
        <v>203</v>
      </c>
      <c r="B204" s="7">
        <v>255.559391327458</v>
      </c>
      <c r="C204" s="7">
        <v>265.11764816699201</v>
      </c>
      <c r="D204" s="7">
        <v>249.86878605145799</v>
      </c>
    </row>
    <row r="205" spans="1:4" x14ac:dyDescent="0.25">
      <c r="A205" s="6">
        <v>204</v>
      </c>
      <c r="B205" s="7">
        <v>297.85005059261601</v>
      </c>
      <c r="C205" s="7">
        <v>253.92108984089001</v>
      </c>
      <c r="D205" s="7">
        <v>253.11977678194401</v>
      </c>
    </row>
    <row r="206" spans="1:4" x14ac:dyDescent="0.25">
      <c r="A206" s="6">
        <v>205</v>
      </c>
      <c r="B206" s="7">
        <v>249.998894180419</v>
      </c>
      <c r="C206" s="7">
        <v>260.74023946856897</v>
      </c>
      <c r="D206" s="7">
        <v>251.866189869794</v>
      </c>
    </row>
    <row r="207" spans="1:4" x14ac:dyDescent="0.25">
      <c r="A207" s="6">
        <v>206</v>
      </c>
      <c r="B207" s="7">
        <v>245.593007240101</v>
      </c>
      <c r="C207" s="7">
        <v>270.14257652939199</v>
      </c>
      <c r="D207" s="7">
        <v>262.09408705201201</v>
      </c>
    </row>
    <row r="208" spans="1:4" x14ac:dyDescent="0.25">
      <c r="A208" s="6">
        <v>207</v>
      </c>
      <c r="B208" s="7">
        <v>236.250394662502</v>
      </c>
      <c r="C208" s="7">
        <v>261.53637440890401</v>
      </c>
      <c r="D208" s="7">
        <v>275.24489942081101</v>
      </c>
    </row>
    <row r="209" spans="1:4" x14ac:dyDescent="0.25">
      <c r="A209" s="6">
        <v>208</v>
      </c>
      <c r="B209" s="7">
        <v>248.94871645843801</v>
      </c>
      <c r="C209" s="7">
        <v>252.10233080091001</v>
      </c>
      <c r="D209" s="7">
        <v>269.19788241695397</v>
      </c>
    </row>
    <row r="210" spans="1:4" x14ac:dyDescent="0.25">
      <c r="A210" s="6">
        <v>209</v>
      </c>
      <c r="B210" s="7">
        <v>244.13369828350699</v>
      </c>
      <c r="C210" s="7">
        <v>245.03351282472701</v>
      </c>
      <c r="D210" s="7">
        <v>259.11510239786702</v>
      </c>
    </row>
    <row r="211" spans="1:4" x14ac:dyDescent="0.25">
      <c r="A211" s="6">
        <v>210</v>
      </c>
      <c r="B211" s="7">
        <v>257.866332465879</v>
      </c>
      <c r="C211" s="7">
        <v>256.06424516435902</v>
      </c>
      <c r="D211" s="7">
        <v>253.44209964711999</v>
      </c>
    </row>
    <row r="212" spans="1:4" x14ac:dyDescent="0.25">
      <c r="A212" s="6">
        <v>211</v>
      </c>
      <c r="B212" s="7">
        <v>263.92537679028101</v>
      </c>
      <c r="C212" s="7">
        <v>268.35578224400302</v>
      </c>
      <c r="D212" s="7">
        <v>259.01275081641597</v>
      </c>
    </row>
    <row r="213" spans="1:4" x14ac:dyDescent="0.25">
      <c r="A213" s="6">
        <v>212</v>
      </c>
      <c r="B213" s="7">
        <v>258.94297565387097</v>
      </c>
      <c r="C213" s="7">
        <v>272.37771735800999</v>
      </c>
      <c r="D213" s="7">
        <v>267.50427834363398</v>
      </c>
    </row>
    <row r="214" spans="1:4" x14ac:dyDescent="0.25">
      <c r="A214" s="6">
        <v>213</v>
      </c>
      <c r="B214" s="7">
        <v>269.80029181351802</v>
      </c>
      <c r="C214" s="7">
        <v>269.50022421807898</v>
      </c>
      <c r="D214" s="7">
        <v>266.30195633520702</v>
      </c>
    </row>
    <row r="215" spans="1:4" x14ac:dyDescent="0.25">
      <c r="A215" s="6">
        <v>214</v>
      </c>
      <c r="B215" s="7">
        <v>258.57652451666399</v>
      </c>
      <c r="C215" s="7">
        <v>271.76105488522501</v>
      </c>
      <c r="D215" s="7">
        <v>268.78992585669698</v>
      </c>
    </row>
    <row r="216" spans="1:4" x14ac:dyDescent="0.25">
      <c r="A216" s="6">
        <v>215</v>
      </c>
      <c r="B216" s="7">
        <v>271.81195930400401</v>
      </c>
      <c r="C216" s="7">
        <v>269.79491969086303</v>
      </c>
      <c r="D216" s="7">
        <v>268.40277738985998</v>
      </c>
    </row>
    <row r="217" spans="1:4" x14ac:dyDescent="0.25">
      <c r="A217" s="6">
        <v>216</v>
      </c>
      <c r="B217" s="7">
        <v>288.66595796255802</v>
      </c>
      <c r="C217" s="7">
        <v>252.14805207336801</v>
      </c>
      <c r="D217" s="7">
        <v>272.99910852467502</v>
      </c>
    </row>
    <row r="218" spans="1:4" x14ac:dyDescent="0.25">
      <c r="A218" s="6">
        <v>217</v>
      </c>
      <c r="B218" s="7">
        <v>297.584045610506</v>
      </c>
      <c r="C218" s="7">
        <v>242.14012568234699</v>
      </c>
      <c r="D218" s="7">
        <v>283.75955267524699</v>
      </c>
    </row>
    <row r="219" spans="1:4" x14ac:dyDescent="0.25">
      <c r="A219" s="6">
        <v>218</v>
      </c>
      <c r="B219" s="7">
        <v>265.76395697981297</v>
      </c>
      <c r="C219" s="7">
        <v>258.284697365912</v>
      </c>
      <c r="D219" s="7">
        <v>268.62040443251198</v>
      </c>
    </row>
    <row r="220" spans="1:4" x14ac:dyDescent="0.25">
      <c r="A220" s="6">
        <v>219</v>
      </c>
      <c r="B220" s="7">
        <v>264.90593323829597</v>
      </c>
      <c r="C220" s="7">
        <v>264.70261367863998</v>
      </c>
      <c r="D220" s="7">
        <v>250.52543956588099</v>
      </c>
    </row>
    <row r="221" spans="1:4" x14ac:dyDescent="0.25">
      <c r="A221" s="6">
        <v>220</v>
      </c>
      <c r="B221" s="7">
        <v>251.92337868521901</v>
      </c>
      <c r="C221" s="7">
        <v>270.33934624314298</v>
      </c>
      <c r="D221" s="7">
        <v>247.74140417412801</v>
      </c>
    </row>
    <row r="222" spans="1:4" x14ac:dyDescent="0.25">
      <c r="A222" s="6">
        <v>221</v>
      </c>
      <c r="B222" s="7">
        <v>250.090607969394</v>
      </c>
      <c r="C222" s="7">
        <v>257.59189749609999</v>
      </c>
      <c r="D222" s="7">
        <v>263.67749755351201</v>
      </c>
    </row>
    <row r="223" spans="1:4" x14ac:dyDescent="0.25">
      <c r="A223" s="6">
        <v>222</v>
      </c>
      <c r="B223" s="7">
        <v>242.130934658782</v>
      </c>
      <c r="C223" s="7">
        <v>234.37147354758801</v>
      </c>
      <c r="D223" s="7">
        <v>273.11199339153399</v>
      </c>
    </row>
    <row r="224" spans="1:4" x14ac:dyDescent="0.25">
      <c r="A224" s="6">
        <v>223</v>
      </c>
      <c r="B224" s="7">
        <v>239.78123101896401</v>
      </c>
      <c r="C224" s="7">
        <v>238.77812900384799</v>
      </c>
      <c r="D224" s="7">
        <v>262.84325727397697</v>
      </c>
    </row>
    <row r="225" spans="1:4" x14ac:dyDescent="0.25">
      <c r="A225" s="6">
        <v>224</v>
      </c>
      <c r="B225" s="7">
        <v>259.07619239781599</v>
      </c>
      <c r="C225" s="7">
        <v>268.55367456740998</v>
      </c>
      <c r="D225" s="7">
        <v>262.205728900807</v>
      </c>
    </row>
    <row r="226" spans="1:4" x14ac:dyDescent="0.25">
      <c r="A226" s="6">
        <v>225</v>
      </c>
      <c r="B226" s="7">
        <v>284.62303721231302</v>
      </c>
      <c r="C226" s="7">
        <v>269.27834784909902</v>
      </c>
      <c r="D226" s="7">
        <v>259.61830269741699</v>
      </c>
    </row>
    <row r="227" spans="1:4" x14ac:dyDescent="0.25">
      <c r="A227" s="6">
        <v>226</v>
      </c>
      <c r="B227" s="7">
        <v>272.41028036253101</v>
      </c>
      <c r="C227" s="7">
        <v>249.31197622130099</v>
      </c>
      <c r="D227" s="7">
        <v>256.50945383852098</v>
      </c>
    </row>
    <row r="228" spans="1:4" x14ac:dyDescent="0.25">
      <c r="A228" s="6">
        <v>227</v>
      </c>
      <c r="B228" s="7">
        <v>234.84637111933199</v>
      </c>
      <c r="C228" s="7">
        <v>257.22726908436101</v>
      </c>
      <c r="D228" s="7">
        <v>269.221681805012</v>
      </c>
    </row>
    <row r="229" spans="1:4" x14ac:dyDescent="0.25">
      <c r="A229" s="6">
        <v>228</v>
      </c>
      <c r="B229" s="7">
        <v>259.43432976404603</v>
      </c>
      <c r="C229" s="7">
        <v>272.25141468517199</v>
      </c>
      <c r="D229" s="7">
        <v>271.75598467715901</v>
      </c>
    </row>
    <row r="230" spans="1:4" x14ac:dyDescent="0.25">
      <c r="A230" s="6">
        <v>229</v>
      </c>
      <c r="B230" s="7">
        <v>268.85443178739899</v>
      </c>
      <c r="C230" s="7">
        <v>271.87069044082102</v>
      </c>
      <c r="D230" s="7">
        <v>262.24313318527498</v>
      </c>
    </row>
    <row r="231" spans="1:4" x14ac:dyDescent="0.25">
      <c r="A231" s="6">
        <v>230</v>
      </c>
      <c r="B231" s="7">
        <v>273.17586912242399</v>
      </c>
      <c r="C231" s="7">
        <v>265.72140492109298</v>
      </c>
      <c r="D231" s="7">
        <v>258.22021987584799</v>
      </c>
    </row>
    <row r="232" spans="1:4" x14ac:dyDescent="0.25">
      <c r="A232" s="6">
        <v>231</v>
      </c>
      <c r="B232" s="7">
        <v>264.50457789619298</v>
      </c>
      <c r="C232" s="7">
        <v>262.42374569904302</v>
      </c>
      <c r="D232" s="7">
        <v>260.746730343754</v>
      </c>
    </row>
    <row r="233" spans="1:4" x14ac:dyDescent="0.25">
      <c r="A233" s="6">
        <v>232</v>
      </c>
      <c r="B233" s="7">
        <v>228.830727855052</v>
      </c>
      <c r="C233" s="7">
        <v>266.44750137541098</v>
      </c>
      <c r="D233" s="7">
        <v>272.20161204686201</v>
      </c>
    </row>
    <row r="234" spans="1:4" x14ac:dyDescent="0.25">
      <c r="A234" s="6">
        <v>233</v>
      </c>
      <c r="B234" s="7">
        <v>255.33386665181899</v>
      </c>
      <c r="C234" s="7">
        <v>259.99822790598103</v>
      </c>
      <c r="D234" s="7">
        <v>278.15068816231798</v>
      </c>
    </row>
    <row r="235" spans="1:4" x14ac:dyDescent="0.25">
      <c r="A235" s="6">
        <v>234</v>
      </c>
      <c r="B235" s="7">
        <v>272.12113718613398</v>
      </c>
      <c r="C235" s="7">
        <v>257.37689638008101</v>
      </c>
      <c r="D235" s="7">
        <v>252.99480499062199</v>
      </c>
    </row>
    <row r="236" spans="1:4" x14ac:dyDescent="0.25">
      <c r="A236" s="6">
        <v>235</v>
      </c>
      <c r="B236" s="7">
        <v>266.05182645760698</v>
      </c>
      <c r="C236" s="7">
        <v>263.89349749588303</v>
      </c>
      <c r="D236" s="7">
        <v>258.43355030059899</v>
      </c>
    </row>
    <row r="237" spans="1:4" x14ac:dyDescent="0.25">
      <c r="A237" s="6">
        <v>236</v>
      </c>
      <c r="B237" s="7">
        <v>261.73757364256602</v>
      </c>
      <c r="C237" s="7">
        <v>277.00022546404</v>
      </c>
      <c r="D237" s="7">
        <v>258.03023997668203</v>
      </c>
    </row>
    <row r="238" spans="1:4" x14ac:dyDescent="0.25">
      <c r="A238" s="6">
        <v>237</v>
      </c>
      <c r="B238" s="7">
        <v>272.18998344205397</v>
      </c>
      <c r="C238" s="7">
        <v>265.15120122568902</v>
      </c>
      <c r="D238" s="7">
        <v>263.67265033065598</v>
      </c>
    </row>
    <row r="239" spans="1:4" x14ac:dyDescent="0.25">
      <c r="A239" s="6">
        <v>238</v>
      </c>
      <c r="B239" s="7">
        <v>280.86385331529402</v>
      </c>
      <c r="C239" s="7">
        <v>258.36593495217397</v>
      </c>
      <c r="D239" s="7">
        <v>267.15447805641799</v>
      </c>
    </row>
    <row r="240" spans="1:4" x14ac:dyDescent="0.25">
      <c r="A240" s="6">
        <v>239</v>
      </c>
      <c r="B240" s="7">
        <v>266.05532908600497</v>
      </c>
      <c r="C240" s="7">
        <v>254.44967820792201</v>
      </c>
      <c r="D240" s="7">
        <v>261.15971286680502</v>
      </c>
    </row>
    <row r="241" spans="1:4" x14ac:dyDescent="0.25">
      <c r="A241" s="6">
        <v>240</v>
      </c>
      <c r="B241" s="7">
        <v>255.054246477101</v>
      </c>
      <c r="C241" s="7">
        <v>254.60058124893899</v>
      </c>
      <c r="D241" s="7">
        <v>259.16367468958299</v>
      </c>
    </row>
    <row r="242" spans="1:4" x14ac:dyDescent="0.25">
      <c r="A242" s="6">
        <v>241</v>
      </c>
      <c r="B242" s="7">
        <v>268.51078641767998</v>
      </c>
      <c r="C242" s="7">
        <v>260.07045661789601</v>
      </c>
      <c r="D242" s="7">
        <v>260.34549206092203</v>
      </c>
    </row>
    <row r="243" spans="1:4" x14ac:dyDescent="0.25">
      <c r="A243" s="6">
        <v>242</v>
      </c>
      <c r="B243" s="7">
        <v>274.31882730366402</v>
      </c>
      <c r="C243" s="7">
        <v>258.034854112917</v>
      </c>
      <c r="D243" s="7">
        <v>262.483316720647</v>
      </c>
    </row>
    <row r="244" spans="1:4" x14ac:dyDescent="0.25">
      <c r="A244" s="6">
        <v>243</v>
      </c>
      <c r="B244" s="7">
        <v>267.32764655177101</v>
      </c>
      <c r="C244" s="7">
        <v>250.39399767288299</v>
      </c>
      <c r="D244" s="7">
        <v>260.35640203830701</v>
      </c>
    </row>
    <row r="245" spans="1:4" x14ac:dyDescent="0.25">
      <c r="A245" s="6">
        <v>244</v>
      </c>
      <c r="B245" s="7">
        <v>249.08303933245099</v>
      </c>
      <c r="C245" s="7">
        <v>251.58721733864999</v>
      </c>
      <c r="D245" s="7">
        <v>260.81806763260198</v>
      </c>
    </row>
    <row r="246" spans="1:4" x14ac:dyDescent="0.25">
      <c r="A246" s="6">
        <v>245</v>
      </c>
      <c r="B246" s="7">
        <v>250.027249115899</v>
      </c>
      <c r="C246" s="7">
        <v>270.63386290186401</v>
      </c>
      <c r="D246" s="7">
        <v>271.150300475157</v>
      </c>
    </row>
    <row r="247" spans="1:4" x14ac:dyDescent="0.25">
      <c r="A247" s="6">
        <v>246</v>
      </c>
      <c r="B247" s="7">
        <v>253.03743091213499</v>
      </c>
      <c r="C247" s="7">
        <v>272.93056734357998</v>
      </c>
      <c r="D247" s="7">
        <v>260.00706448173099</v>
      </c>
    </row>
    <row r="248" spans="1:4" x14ac:dyDescent="0.25">
      <c r="A248" s="6">
        <v>247</v>
      </c>
      <c r="B248" s="7">
        <v>260.073047206517</v>
      </c>
      <c r="C248" s="7">
        <v>256.880874500017</v>
      </c>
      <c r="D248" s="7">
        <v>250.70058282090599</v>
      </c>
    </row>
    <row r="249" spans="1:4" x14ac:dyDescent="0.25">
      <c r="A249" s="6">
        <v>248</v>
      </c>
      <c r="B249" s="7">
        <v>268.09780586862701</v>
      </c>
      <c r="C249" s="7">
        <v>233.06773100107</v>
      </c>
      <c r="D249" s="7">
        <v>255.03950162414401</v>
      </c>
    </row>
    <row r="250" spans="1:4" x14ac:dyDescent="0.25">
      <c r="A250" s="6">
        <v>249</v>
      </c>
      <c r="B250" s="7">
        <v>277.95246585764397</v>
      </c>
      <c r="C250" s="7">
        <v>235.81228072162801</v>
      </c>
      <c r="D250" s="7">
        <v>266.708285667474</v>
      </c>
    </row>
    <row r="251" spans="1:4" x14ac:dyDescent="0.25">
      <c r="A251" s="6">
        <v>250</v>
      </c>
      <c r="B251" s="7">
        <v>270.55885844698901</v>
      </c>
      <c r="C251" s="7">
        <v>248.59071472051301</v>
      </c>
      <c r="D251" s="7">
        <v>274.53766228316402</v>
      </c>
    </row>
    <row r="252" spans="1:4" x14ac:dyDescent="0.25">
      <c r="A252" s="6">
        <v>251</v>
      </c>
      <c r="B252" s="7">
        <v>268.458693222112</v>
      </c>
      <c r="C252" s="7">
        <v>259.79406608962</v>
      </c>
      <c r="D252" s="7">
        <v>274.55476638114499</v>
      </c>
    </row>
    <row r="253" spans="1:4" x14ac:dyDescent="0.25">
      <c r="A253" s="6">
        <v>252</v>
      </c>
      <c r="B253" s="7">
        <v>260.29898350367898</v>
      </c>
      <c r="C253" s="7">
        <v>257.57236668483102</v>
      </c>
      <c r="D253" s="7">
        <v>271.998243662699</v>
      </c>
    </row>
    <row r="254" spans="1:4" x14ac:dyDescent="0.25">
      <c r="A254" s="6">
        <v>253</v>
      </c>
      <c r="B254" s="7">
        <v>266.13435361793302</v>
      </c>
      <c r="C254" s="7">
        <v>254.42469132727601</v>
      </c>
      <c r="D254" s="7">
        <v>264.856400528336</v>
      </c>
    </row>
    <row r="255" spans="1:4" x14ac:dyDescent="0.25">
      <c r="A255" s="6">
        <v>254</v>
      </c>
      <c r="B255" s="7">
        <v>272.87831773315099</v>
      </c>
      <c r="C255" s="7">
        <v>253.42741875266501</v>
      </c>
      <c r="D255" s="7">
        <v>259.731895818824</v>
      </c>
    </row>
    <row r="256" spans="1:4" x14ac:dyDescent="0.25">
      <c r="A256" s="6">
        <v>255</v>
      </c>
      <c r="B256" s="7">
        <v>256.66926924373502</v>
      </c>
      <c r="C256" s="7">
        <v>262.88629203322898</v>
      </c>
      <c r="D256" s="7">
        <v>265.09700742814698</v>
      </c>
    </row>
    <row r="257" spans="1:4" x14ac:dyDescent="0.25">
      <c r="A257" s="6">
        <v>256</v>
      </c>
      <c r="B257" s="7">
        <v>267.62658068729502</v>
      </c>
      <c r="C257" s="7">
        <v>272.11084961832802</v>
      </c>
      <c r="D257" s="7">
        <v>263.80502684582302</v>
      </c>
    </row>
    <row r="258" spans="1:4" x14ac:dyDescent="0.25">
      <c r="A258" s="6">
        <v>257</v>
      </c>
      <c r="B258" s="7">
        <v>274.52916293564101</v>
      </c>
      <c r="C258" s="7">
        <v>272.26863431380502</v>
      </c>
      <c r="D258" s="7">
        <v>259.72212695818598</v>
      </c>
    </row>
    <row r="259" spans="1:4" x14ac:dyDescent="0.25">
      <c r="A259" s="6">
        <v>258</v>
      </c>
      <c r="B259" s="7">
        <v>268.97191181781801</v>
      </c>
      <c r="C259" s="7">
        <v>265.51146100612698</v>
      </c>
      <c r="D259" s="7">
        <v>261.48402601158898</v>
      </c>
    </row>
    <row r="260" spans="1:4" x14ac:dyDescent="0.25">
      <c r="A260" s="6">
        <v>259</v>
      </c>
      <c r="B260" s="7">
        <v>265.188678327329</v>
      </c>
      <c r="C260" s="7">
        <v>264.773857146453</v>
      </c>
      <c r="D260" s="7">
        <v>272.14001797841598</v>
      </c>
    </row>
    <row r="261" spans="1:4" x14ac:dyDescent="0.25">
      <c r="A261" s="6">
        <v>260</v>
      </c>
      <c r="B261" s="7">
        <v>273.748281742855</v>
      </c>
      <c r="C261" s="7">
        <v>265.13287483098702</v>
      </c>
      <c r="D261" s="7">
        <v>271.134423242119</v>
      </c>
    </row>
    <row r="262" spans="1:4" x14ac:dyDescent="0.25">
      <c r="A262" s="6">
        <v>261</v>
      </c>
      <c r="B262" s="7">
        <v>280.55700037574002</v>
      </c>
      <c r="C262" s="7">
        <v>249.68368073458001</v>
      </c>
      <c r="D262" s="7">
        <v>273.11614476628898</v>
      </c>
    </row>
    <row r="263" spans="1:4" x14ac:dyDescent="0.25">
      <c r="A263" s="6">
        <v>262</v>
      </c>
      <c r="B263" s="7">
        <v>262.02563690517502</v>
      </c>
      <c r="C263" s="7">
        <v>249.201118346849</v>
      </c>
      <c r="D263" s="7">
        <v>254.60290406364001</v>
      </c>
    </row>
    <row r="264" spans="1:4" x14ac:dyDescent="0.25">
      <c r="A264" s="6">
        <v>263</v>
      </c>
      <c r="B264" s="7">
        <v>265.54506349056101</v>
      </c>
      <c r="C264" s="7">
        <v>251.238321065603</v>
      </c>
      <c r="D264" s="7">
        <v>252.73300868319001</v>
      </c>
    </row>
    <row r="265" spans="1:4" x14ac:dyDescent="0.25">
      <c r="A265" s="6">
        <v>264</v>
      </c>
      <c r="B265" s="7">
        <v>257.54797380380398</v>
      </c>
      <c r="C265" s="7">
        <v>255.431268273081</v>
      </c>
      <c r="D265" s="7">
        <v>263.41868638924899</v>
      </c>
    </row>
    <row r="266" spans="1:4" x14ac:dyDescent="0.25">
      <c r="A266" s="6">
        <v>265</v>
      </c>
      <c r="B266" s="7">
        <v>253.65777587761801</v>
      </c>
      <c r="C266" s="7">
        <v>258.31131537763599</v>
      </c>
      <c r="D266" s="7">
        <v>259.795378985718</v>
      </c>
    </row>
    <row r="267" spans="1:4" x14ac:dyDescent="0.25">
      <c r="A267" s="6">
        <v>266</v>
      </c>
      <c r="B267" s="7">
        <v>274.52396968517701</v>
      </c>
      <c r="C267" s="7">
        <v>259.37789102946402</v>
      </c>
      <c r="D267" s="7">
        <v>253.34920255791599</v>
      </c>
    </row>
    <row r="268" spans="1:4" x14ac:dyDescent="0.25">
      <c r="A268" s="6">
        <v>267</v>
      </c>
      <c r="B268" s="7">
        <v>279.69453378426499</v>
      </c>
      <c r="C268" s="7">
        <v>267.48511489088497</v>
      </c>
      <c r="D268" s="7">
        <v>248.02786799083901</v>
      </c>
    </row>
    <row r="269" spans="1:4" x14ac:dyDescent="0.25">
      <c r="A269" s="6">
        <v>268</v>
      </c>
      <c r="B269" s="7">
        <v>270.77588105545101</v>
      </c>
      <c r="C269" s="7">
        <v>268.29143406263103</v>
      </c>
      <c r="D269" s="7">
        <v>242.51814261879699</v>
      </c>
    </row>
    <row r="270" spans="1:4" x14ac:dyDescent="0.25">
      <c r="A270" s="6">
        <v>269</v>
      </c>
      <c r="B270" s="7">
        <v>267.69799896726698</v>
      </c>
      <c r="C270" s="7">
        <v>270.51285212654898</v>
      </c>
      <c r="D270" s="7">
        <v>245.47754515790899</v>
      </c>
    </row>
    <row r="271" spans="1:4" x14ac:dyDescent="0.25">
      <c r="A271" s="6">
        <v>270</v>
      </c>
      <c r="B271" s="7">
        <v>260.19630818969603</v>
      </c>
      <c r="C271" s="7">
        <v>267.84559438591799</v>
      </c>
      <c r="D271" s="7">
        <v>257.480463123942</v>
      </c>
    </row>
    <row r="272" spans="1:4" x14ac:dyDescent="0.25">
      <c r="A272" s="6">
        <v>271</v>
      </c>
      <c r="B272" s="7">
        <v>269.74340591149701</v>
      </c>
      <c r="C272" s="7">
        <v>257.97284075766203</v>
      </c>
      <c r="D272" s="7">
        <v>264.62734492462999</v>
      </c>
    </row>
    <row r="273" spans="1:4" x14ac:dyDescent="0.25">
      <c r="A273" s="6">
        <v>272</v>
      </c>
      <c r="B273" s="7">
        <v>274.61092659092401</v>
      </c>
      <c r="C273" s="7">
        <v>258.69066198359099</v>
      </c>
      <c r="D273" s="7">
        <v>265.71068413993498</v>
      </c>
    </row>
    <row r="274" spans="1:4" x14ac:dyDescent="0.25">
      <c r="A274" s="6">
        <v>273</v>
      </c>
      <c r="B274" s="7">
        <v>283.16826604768897</v>
      </c>
      <c r="C274" s="7">
        <v>273.525360781801</v>
      </c>
      <c r="D274" s="7">
        <v>258.35381473372098</v>
      </c>
    </row>
    <row r="275" spans="1:4" x14ac:dyDescent="0.25">
      <c r="A275" s="6">
        <v>274</v>
      </c>
      <c r="B275" s="7">
        <v>277.57610626568999</v>
      </c>
      <c r="C275" s="7">
        <v>248.51329838703899</v>
      </c>
      <c r="D275" s="7">
        <v>262.82180454121101</v>
      </c>
    </row>
    <row r="276" spans="1:4" x14ac:dyDescent="0.25">
      <c r="A276" s="6">
        <v>275</v>
      </c>
      <c r="B276" s="7">
        <v>265.042027050679</v>
      </c>
      <c r="C276" s="7">
        <v>225.265235473616</v>
      </c>
      <c r="D276" s="7">
        <v>272.52480780500599</v>
      </c>
    </row>
    <row r="277" spans="1:4" x14ac:dyDescent="0.25">
      <c r="A277" s="6">
        <v>276</v>
      </c>
      <c r="B277" s="7">
        <v>279.92645469644702</v>
      </c>
      <c r="C277" s="7">
        <v>240.97893901239701</v>
      </c>
      <c r="D277" s="7">
        <v>274.66697451803998</v>
      </c>
    </row>
    <row r="278" spans="1:4" x14ac:dyDescent="0.25">
      <c r="A278" s="6">
        <v>277</v>
      </c>
      <c r="B278" s="7">
        <v>262.79230935662201</v>
      </c>
      <c r="C278" s="7">
        <v>253.07756773508001</v>
      </c>
      <c r="D278" s="7">
        <v>262.26772494315298</v>
      </c>
    </row>
    <row r="279" spans="1:4" x14ac:dyDescent="0.25">
      <c r="A279" s="6">
        <v>278</v>
      </c>
      <c r="B279" s="7">
        <v>274.26545667275099</v>
      </c>
      <c r="C279" s="7">
        <v>253.881011719513</v>
      </c>
      <c r="D279" s="7">
        <v>262.03419986096401</v>
      </c>
    </row>
    <row r="280" spans="1:4" x14ac:dyDescent="0.25">
      <c r="A280" s="6">
        <v>279</v>
      </c>
      <c r="B280" s="7">
        <v>287.47107783336799</v>
      </c>
      <c r="C280" s="7">
        <v>250.11562221306201</v>
      </c>
      <c r="D280" s="7">
        <v>267.94160932421698</v>
      </c>
    </row>
    <row r="281" spans="1:4" x14ac:dyDescent="0.25">
      <c r="A281" s="6">
        <v>280</v>
      </c>
      <c r="B281" s="7">
        <v>269.73661425657798</v>
      </c>
      <c r="C281" s="7">
        <v>260.76959757463197</v>
      </c>
      <c r="D281" s="7">
        <v>260.99427356441902</v>
      </c>
    </row>
    <row r="282" spans="1:4" x14ac:dyDescent="0.25">
      <c r="A282" s="6">
        <v>281</v>
      </c>
      <c r="B282" s="7">
        <v>261.93464458370897</v>
      </c>
      <c r="C282" s="7">
        <v>273.24440234299902</v>
      </c>
      <c r="D282" s="7">
        <v>259.53805700843702</v>
      </c>
    </row>
    <row r="283" spans="1:4" x14ac:dyDescent="0.25">
      <c r="A283" s="6">
        <v>282</v>
      </c>
      <c r="B283" s="7">
        <v>258.39936441070199</v>
      </c>
      <c r="C283" s="7">
        <v>280.89966066511499</v>
      </c>
      <c r="D283" s="7">
        <v>259.46132992037798</v>
      </c>
    </row>
    <row r="284" spans="1:4" x14ac:dyDescent="0.25">
      <c r="A284" s="6">
        <v>283</v>
      </c>
      <c r="B284" s="7">
        <v>250.33886742925401</v>
      </c>
      <c r="C284" s="7">
        <v>259.86220674124399</v>
      </c>
      <c r="D284" s="7">
        <v>258.67580605285002</v>
      </c>
    </row>
    <row r="285" spans="1:4" x14ac:dyDescent="0.25">
      <c r="A285" s="6">
        <v>284</v>
      </c>
      <c r="B285" s="7">
        <v>275.67348812368698</v>
      </c>
      <c r="C285" s="7">
        <v>246.987523288224</v>
      </c>
      <c r="D285" s="7">
        <v>272.60210526711103</v>
      </c>
    </row>
    <row r="286" spans="1:4" x14ac:dyDescent="0.25">
      <c r="A286" s="6">
        <v>285</v>
      </c>
      <c r="B286" s="7">
        <v>248.50558683594599</v>
      </c>
      <c r="C286" s="7">
        <v>252.01462455576899</v>
      </c>
      <c r="D286" s="7">
        <v>271.49161723213001</v>
      </c>
    </row>
    <row r="287" spans="1:4" x14ac:dyDescent="0.25">
      <c r="A287" s="6">
        <v>286</v>
      </c>
      <c r="B287" s="7">
        <v>268.93583965037902</v>
      </c>
      <c r="C287" s="7">
        <v>246.43636747560399</v>
      </c>
      <c r="D287" s="7">
        <v>251.95918843475701</v>
      </c>
    </row>
    <row r="288" spans="1:4" x14ac:dyDescent="0.25">
      <c r="A288" s="6">
        <v>287</v>
      </c>
      <c r="B288" s="7">
        <v>275.52814300800401</v>
      </c>
      <c r="C288" s="7">
        <v>243.61413580798401</v>
      </c>
      <c r="D288" s="7">
        <v>271.44274779133502</v>
      </c>
    </row>
    <row r="289" spans="1:4" x14ac:dyDescent="0.25">
      <c r="A289" s="6">
        <v>288</v>
      </c>
      <c r="B289" s="7">
        <v>285.20348294050802</v>
      </c>
      <c r="C289" s="7">
        <v>267.21615865018998</v>
      </c>
      <c r="D289" s="7">
        <v>252.18868890891</v>
      </c>
    </row>
    <row r="290" spans="1:4" x14ac:dyDescent="0.25">
      <c r="A290" s="6">
        <v>289</v>
      </c>
      <c r="B290" s="7">
        <v>266.31545840831302</v>
      </c>
      <c r="C290" s="7">
        <v>275.16107843529198</v>
      </c>
      <c r="D290" s="7">
        <v>261.64670739500201</v>
      </c>
    </row>
    <row r="291" spans="1:4" x14ac:dyDescent="0.25">
      <c r="A291" s="6">
        <v>290</v>
      </c>
      <c r="B291" s="7">
        <v>229.808876407257</v>
      </c>
      <c r="C291" s="7">
        <v>266.238502844952</v>
      </c>
      <c r="D291" s="7">
        <v>263.50491938234399</v>
      </c>
    </row>
    <row r="292" spans="1:4" x14ac:dyDescent="0.25">
      <c r="A292" s="6">
        <v>291</v>
      </c>
      <c r="B292" s="7">
        <v>235.56640261121399</v>
      </c>
      <c r="C292" s="7">
        <v>256.21107384392701</v>
      </c>
      <c r="D292" s="7">
        <v>255.64878224098001</v>
      </c>
    </row>
    <row r="293" spans="1:4" x14ac:dyDescent="0.25">
      <c r="A293" s="6">
        <v>292</v>
      </c>
      <c r="B293" s="7">
        <v>249.17064619603599</v>
      </c>
      <c r="C293" s="7">
        <v>273.95269169611402</v>
      </c>
      <c r="D293" s="7">
        <v>257.28915163910398</v>
      </c>
    </row>
    <row r="294" spans="1:4" x14ac:dyDescent="0.25">
      <c r="A294" s="6">
        <v>293</v>
      </c>
      <c r="B294" s="7">
        <v>240.629119408675</v>
      </c>
      <c r="C294" s="7">
        <v>268.75581442541397</v>
      </c>
      <c r="D294" s="7">
        <v>260.19621949959998</v>
      </c>
    </row>
    <row r="295" spans="1:4" x14ac:dyDescent="0.25">
      <c r="A295" s="6">
        <v>294</v>
      </c>
      <c r="B295" s="7">
        <v>256.249058298335</v>
      </c>
      <c r="C295" s="7">
        <v>253.34677842397599</v>
      </c>
      <c r="D295" s="7">
        <v>269.84398545719603</v>
      </c>
    </row>
    <row r="296" spans="1:4" x14ac:dyDescent="0.25">
      <c r="A296" s="6">
        <v>295</v>
      </c>
      <c r="B296" s="7">
        <v>250.64815228497099</v>
      </c>
      <c r="C296" s="7">
        <v>248.76080499052199</v>
      </c>
      <c r="D296" s="7">
        <v>284.079574566357</v>
      </c>
    </row>
    <row r="297" spans="1:4" x14ac:dyDescent="0.25">
      <c r="A297" s="6">
        <v>296</v>
      </c>
      <c r="B297" s="7">
        <v>254.41322034593401</v>
      </c>
      <c r="C297" s="7">
        <v>254.26138907417999</v>
      </c>
      <c r="D297" s="7">
        <v>267.666030068113</v>
      </c>
    </row>
    <row r="298" spans="1:4" x14ac:dyDescent="0.25">
      <c r="A298" s="6">
        <v>297</v>
      </c>
      <c r="B298" s="7">
        <v>253.01921922435099</v>
      </c>
      <c r="C298" s="7">
        <v>258.52515419538997</v>
      </c>
      <c r="D298" s="7">
        <v>265.76914150839701</v>
      </c>
    </row>
    <row r="299" spans="1:4" x14ac:dyDescent="0.25">
      <c r="A299" s="6">
        <v>298</v>
      </c>
      <c r="B299" s="7">
        <v>269.294377104516</v>
      </c>
      <c r="C299" s="7">
        <v>258.45516089360501</v>
      </c>
      <c r="D299" s="7">
        <v>273.30171846720498</v>
      </c>
    </row>
    <row r="300" spans="1:4" x14ac:dyDescent="0.25">
      <c r="A300" s="6">
        <v>299</v>
      </c>
      <c r="B300" s="7">
        <v>261.93675460289001</v>
      </c>
      <c r="C300" s="7">
        <v>260.26949381956501</v>
      </c>
      <c r="D300" s="7">
        <v>269.79410231084699</v>
      </c>
    </row>
    <row r="301" spans="1:4" x14ac:dyDescent="0.25">
      <c r="A301" s="6">
        <v>300</v>
      </c>
      <c r="B301" s="7">
        <v>290.02971438540499</v>
      </c>
      <c r="C301" s="7">
        <v>326.44670434075601</v>
      </c>
      <c r="D301" s="7">
        <v>367.23169626177901</v>
      </c>
    </row>
    <row r="302" spans="1:4" x14ac:dyDescent="0.25">
      <c r="A302" s="6">
        <v>301</v>
      </c>
      <c r="B302" s="7">
        <v>304.92</v>
      </c>
      <c r="C302" s="7">
        <v>354.91</v>
      </c>
      <c r="D302" s="7">
        <v>421.98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tabSelected="1" topLeftCell="A13" zoomScaleNormal="100" workbookViewId="0">
      <selection sqref="A1:G1"/>
    </sheetView>
  </sheetViews>
  <sheetFormatPr defaultColWidth="8.7109375" defaultRowHeight="15" x14ac:dyDescent="0.25"/>
  <cols>
    <col min="1" max="1" width="24" customWidth="1"/>
    <col min="2" max="2" width="16" customWidth="1"/>
    <col min="3" max="3" width="13.85546875" customWidth="1"/>
    <col min="4" max="4" width="14" customWidth="1"/>
    <col min="5" max="5" width="12" customWidth="1"/>
    <col min="6" max="6" width="14" customWidth="1"/>
    <col min="7" max="7" width="12" customWidth="1"/>
  </cols>
  <sheetData>
    <row r="1" spans="1:7" ht="18" x14ac:dyDescent="0.25">
      <c r="A1" s="4" t="s">
        <v>4</v>
      </c>
      <c r="B1" s="4"/>
      <c r="C1" s="4"/>
      <c r="D1" s="4"/>
      <c r="E1" s="4"/>
      <c r="F1" s="4"/>
      <c r="G1" s="4"/>
    </row>
    <row r="2" spans="1:7" ht="27.75" customHeight="1" x14ac:dyDescent="0.25">
      <c r="A2" s="3" t="s">
        <v>5</v>
      </c>
      <c r="B2" s="3"/>
      <c r="C2" s="3"/>
      <c r="D2" s="3"/>
      <c r="E2" s="3"/>
      <c r="F2" s="3"/>
      <c r="G2" s="3"/>
    </row>
    <row r="3" spans="1:7" ht="81" customHeight="1" x14ac:dyDescent="0.25">
      <c r="A3" s="2" t="s">
        <v>6</v>
      </c>
      <c r="B3" s="2"/>
      <c r="C3" s="2"/>
      <c r="D3" s="2"/>
      <c r="E3" s="2"/>
      <c r="F3" s="2"/>
      <c r="G3" s="2"/>
    </row>
    <row r="5" spans="1:7" x14ac:dyDescent="0.25">
      <c r="A5" s="8" t="s">
        <v>7</v>
      </c>
    </row>
    <row r="6" spans="1:7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spans="1:7" x14ac:dyDescent="0.25">
      <c r="A7" s="6" t="s">
        <v>1</v>
      </c>
      <c r="B7" s="9">
        <f>COUNT('Raw Data'!$B$2:$B$302)</f>
        <v>301</v>
      </c>
      <c r="C7" s="10">
        <f>SUM('Raw Data'!$B$2:$B$302)</f>
        <v>78524.979495643274</v>
      </c>
      <c r="D7" s="10">
        <f>AVERAGE('Raw Data'!$B$2:$B$302)</f>
        <v>260.88033055030991</v>
      </c>
      <c r="E7" s="10">
        <f>VAR('Raw Data'!$B$2:$B$302)</f>
        <v>195.87441506549104</v>
      </c>
    </row>
    <row r="8" spans="1:7" x14ac:dyDescent="0.25">
      <c r="A8" s="6" t="s">
        <v>2</v>
      </c>
      <c r="B8" s="9">
        <f>COUNT('Raw Data'!$C$2:$C$302)</f>
        <v>301</v>
      </c>
      <c r="C8" s="10">
        <f>SUM('Raw Data'!$C$2:$C$302)</f>
        <v>78657.204819522492</v>
      </c>
      <c r="D8" s="10">
        <f>AVERAGE('Raw Data'!$C$2:$C$302)</f>
        <v>261.31961734060627</v>
      </c>
      <c r="E8" s="10">
        <f>VAR('Raw Data'!$C$2:$C$302)</f>
        <v>246.57094099597637</v>
      </c>
    </row>
    <row r="9" spans="1:7" x14ac:dyDescent="0.25">
      <c r="A9" s="6" t="s">
        <v>3</v>
      </c>
      <c r="B9" s="9">
        <f>COUNT('Raw Data'!$D$2:$D$302)</f>
        <v>301</v>
      </c>
      <c r="C9" s="10">
        <f>SUM('Raw Data'!$D$2:$D$302)</f>
        <v>80622.133190126362</v>
      </c>
      <c r="D9" s="10">
        <f>AVERAGE('Raw Data'!$D$2:$D$302)</f>
        <v>267.84761857184839</v>
      </c>
      <c r="E9" s="10">
        <f>VAR('Raw Data'!$D$2:$D$302)</f>
        <v>342.84418316012102</v>
      </c>
    </row>
    <row r="11" spans="1:7" x14ac:dyDescent="0.25">
      <c r="A11" s="8" t="s">
        <v>13</v>
      </c>
    </row>
    <row r="12" spans="1:7" x14ac:dyDescent="0.25">
      <c r="A12" s="5" t="s">
        <v>14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19</v>
      </c>
      <c r="G12" s="5" t="s">
        <v>20</v>
      </c>
    </row>
    <row r="13" spans="1:7" x14ac:dyDescent="0.25">
      <c r="A13" s="6" t="s">
        <v>21</v>
      </c>
      <c r="B13" s="10">
        <f>B7*(D7-((C7+C8+C9)/(B7+B8+B9)))^2+B8*(D8-((C7+C8+C9)/(B7+B8+B9)))^2+B9*(D9-((C7+C8+C9)/(B7+B8+B9)))^2</f>
        <v>9165.5378252082046</v>
      </c>
      <c r="C13" s="6">
        <f>2</f>
        <v>2</v>
      </c>
      <c r="D13" s="10">
        <f>B13/C13</f>
        <v>4582.7689126041023</v>
      </c>
      <c r="E13" s="6">
        <f>D13/D14</f>
        <v>17.507309153054806</v>
      </c>
      <c r="F13" s="11">
        <f>FDIST(E13,C13,C14)</f>
        <v>3.4741525101189552E-8</v>
      </c>
      <c r="G13" s="10">
        <f>FINV(0.05,C13,C14)</f>
        <v>3.005726006676106</v>
      </c>
    </row>
    <row r="14" spans="1:7" x14ac:dyDescent="0.25">
      <c r="A14" s="6" t="s">
        <v>22</v>
      </c>
      <c r="B14" s="10">
        <f>(B7-1)*E7+(B8-1)*E8+(B9-1)*E9</f>
        <v>235586.86176647653</v>
      </c>
      <c r="C14" s="6">
        <f>B7+B8+B9-3</f>
        <v>900</v>
      </c>
      <c r="D14" s="10">
        <f>B14/C14</f>
        <v>261.76317974052949</v>
      </c>
      <c r="E14" s="12"/>
      <c r="F14" s="12"/>
      <c r="G14" s="12"/>
    </row>
    <row r="15" spans="1:7" x14ac:dyDescent="0.25">
      <c r="A15" s="6" t="s">
        <v>23</v>
      </c>
      <c r="B15" s="10">
        <f>B13+B14</f>
        <v>244752.39959168475</v>
      </c>
      <c r="C15" s="6">
        <f>C13+C14</f>
        <v>902</v>
      </c>
      <c r="D15" s="12"/>
      <c r="E15" s="12"/>
      <c r="F15" s="12"/>
      <c r="G15" s="12"/>
    </row>
    <row r="17" spans="1:7" ht="42" customHeight="1" x14ac:dyDescent="0.25">
      <c r="A17" s="1" t="s">
        <v>24</v>
      </c>
      <c r="B17" s="1"/>
      <c r="C17" s="1"/>
      <c r="D17" s="1"/>
      <c r="E17" s="1"/>
      <c r="F17" s="1"/>
      <c r="G17" s="1"/>
    </row>
  </sheetData>
  <mergeCells count="4">
    <mergeCell ref="A1:G1"/>
    <mergeCell ref="A2:G2"/>
    <mergeCell ref="A3:G3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ANOVA Single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Ahsan</cp:lastModifiedBy>
  <cp:revision>0</cp:revision>
  <dcterms:created xsi:type="dcterms:W3CDTF">2026-09-10T03:53:02Z</dcterms:created>
  <dcterms:modified xsi:type="dcterms:W3CDTF">2026-09-10T03:55:03Z</dcterms:modified>
  <dc:language>en-US</dc:language>
</cp:coreProperties>
</file>